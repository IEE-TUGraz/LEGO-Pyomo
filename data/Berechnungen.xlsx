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GIT\LEGO-Pyomo\data\"/>
    </mc:Choice>
  </mc:AlternateContent>
  <xr:revisionPtr revIDLastSave="0" documentId="13_ncr:1_{C8CE4C5E-8503-4F50-A69E-1FC986F49E08}" xr6:coauthVersionLast="47" xr6:coauthVersionMax="47" xr10:uidLastSave="{00000000-0000-0000-0000-000000000000}"/>
  <bookViews>
    <workbookView xWindow="570" yWindow="4730" windowWidth="28800" windowHeight="15450" xr2:uid="{00000000-000D-0000-FFFF-FFFF00000000}"/>
  </bookViews>
  <sheets>
    <sheet name="CAPEX" sheetId="1" r:id="rId1"/>
    <sheet name="Battery Efficienc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C17" i="1"/>
  <c r="C16" i="1"/>
  <c r="C15" i="1"/>
  <c r="B16" i="1"/>
  <c r="B15" i="1"/>
  <c r="B7" i="1"/>
  <c r="B18" i="1" s="1"/>
  <c r="B6" i="1"/>
  <c r="B17" i="1" s="1"/>
  <c r="C6" i="2"/>
  <c r="B6" i="2"/>
</calcChain>
</file>

<file path=xl/sharedStrings.xml><?xml version="1.0" encoding="utf-8"?>
<sst xmlns="http://schemas.openxmlformats.org/spreadsheetml/2006/main" count="40" uniqueCount="37">
  <si>
    <t>PV Investment Kosten 2025 [€/MW]</t>
  </si>
  <si>
    <t>Lebensdauer PV</t>
  </si>
  <si>
    <t>Lebensdauer Batterie</t>
  </si>
  <si>
    <t>Interest Rate</t>
  </si>
  <si>
    <t>PV Investment Kosten 2035 [€/MW]</t>
  </si>
  <si>
    <t>Fix OPEX PV [€/MW]</t>
  </si>
  <si>
    <t>Variable OPEX PV [€/MWh]</t>
  </si>
  <si>
    <t>Variable OPEX Batterie [€/MWh]</t>
  </si>
  <si>
    <t>Sources</t>
  </si>
  <si>
    <t>A comprehensive review of CAPEX-driven LCOE optimization strategies for utility-scale PV systems; Dhanup et al.</t>
  </si>
  <si>
    <t>Ch</t>
  </si>
  <si>
    <t>Dch</t>
  </si>
  <si>
    <t xml:space="preserve">Quellen </t>
  </si>
  <si>
    <t>Energy efficiency evaluation of a stationary lithium-ion battery container storage system via electro-thermal modeling and detailed component analysis; Michael Schimpe et al.</t>
  </si>
  <si>
    <t>Roundtrip efficiency:</t>
  </si>
  <si>
    <t>Standart</t>
  </si>
  <si>
    <t>DC-Coupled</t>
  </si>
  <si>
    <t>Overview of Energy Storage Deployment in Europe; Gonzalez Cuenca;</t>
  </si>
  <si>
    <t>Batterie Investment Kosten 2025 [€/MWh]</t>
  </si>
  <si>
    <t>Batterie Investment Kosten 2035 [€/MWh]</t>
  </si>
  <si>
    <t>Fix OPEX Batterie 2025 [€/MW]</t>
  </si>
  <si>
    <t>https://nextgpower.com/bess-om-cost-2026-how-to-keep-annual-opex-below-1-5-of-capex/</t>
  </si>
  <si>
    <r>
      <t>Annualized CAPEX</t>
    </r>
    <r>
      <rPr>
        <b/>
        <sz val="11"/>
        <color theme="1"/>
        <rFont val="Calibri"/>
        <family val="2"/>
        <scheme val="minor"/>
      </rPr>
      <t xml:space="preserve"> PV 2025</t>
    </r>
  </si>
  <si>
    <r>
      <t xml:space="preserve">Annualized CAPEX </t>
    </r>
    <r>
      <rPr>
        <b/>
        <sz val="11"/>
        <color theme="1"/>
        <rFont val="Calibri"/>
        <family val="2"/>
        <scheme val="minor"/>
      </rPr>
      <t>PV 2035</t>
    </r>
  </si>
  <si>
    <r>
      <t xml:space="preserve">Annualized CAPEX Speicher </t>
    </r>
    <r>
      <rPr>
        <b/>
        <sz val="11"/>
        <color theme="1"/>
        <rFont val="Calibri"/>
        <family val="2"/>
        <scheme val="minor"/>
      </rPr>
      <t>2025</t>
    </r>
  </si>
  <si>
    <r>
      <t xml:space="preserve">Annualized CAPEX Speicher </t>
    </r>
    <r>
      <rPr>
        <b/>
        <sz val="11"/>
        <color theme="1"/>
        <rFont val="Calibri"/>
        <family val="2"/>
        <scheme val="minor"/>
      </rPr>
      <t>2035</t>
    </r>
  </si>
  <si>
    <t>Note: Variabler OPEX für BSS etwa 2% des CAPEX</t>
  </si>
  <si>
    <t>3% Interest</t>
  </si>
  <si>
    <t>5 % Interest</t>
  </si>
  <si>
    <t>https://www.irena.org/-/media/Files/IRENA/Agency/Publication/2026/Jul/IRENA_TEC_RPGC_in_2025_2026.pdf</t>
  </si>
  <si>
    <t>für 2025</t>
  </si>
  <si>
    <t>https://www.energy-storage.news/battery-storage-system-prices-continue-to-fall-sharply-bnef-and-ember-reports-find/</t>
  </si>
  <si>
    <t>für 2035</t>
  </si>
  <si>
    <t>Storage</t>
  </si>
  <si>
    <t>NREL- Cost projection for utility scale Battery Storage:2025 Update</t>
  </si>
  <si>
    <t>PV/Storage</t>
  </si>
  <si>
    <t>Storage Range 2035 160-210€/MWh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</si>
</sst>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topLeftCell="A13" workbookViewId="0">
      <selection activeCell="O37" sqref="O37"/>
    </sheetView>
  </sheetViews>
  <sheetFormatPr baseColWidth="10" defaultColWidth="8.90625" defaultRowHeight="14.5" x14ac:dyDescent="0.35"/>
  <cols>
    <col min="1" max="1" width="38.36328125" customWidth="1"/>
    <col min="3" max="3" width="10.26953125" bestFit="1" customWidth="1"/>
  </cols>
  <sheetData>
    <row r="1" spans="1:4" x14ac:dyDescent="0.35">
      <c r="A1" t="s">
        <v>0</v>
      </c>
      <c r="B1" s="4">
        <v>667000</v>
      </c>
    </row>
    <row r="2" spans="1:4" x14ac:dyDescent="0.35">
      <c r="A2" t="s">
        <v>4</v>
      </c>
      <c r="B2" s="4">
        <v>520000</v>
      </c>
    </row>
    <row r="3" spans="1:4" x14ac:dyDescent="0.35">
      <c r="A3" t="s">
        <v>18</v>
      </c>
      <c r="B3" s="4">
        <v>220000</v>
      </c>
    </row>
    <row r="4" spans="1:4" x14ac:dyDescent="0.35">
      <c r="A4" t="s">
        <v>19</v>
      </c>
      <c r="B4" s="4">
        <v>160000</v>
      </c>
    </row>
    <row r="5" spans="1:4" x14ac:dyDescent="0.35">
      <c r="A5" t="s">
        <v>5</v>
      </c>
      <c r="B5">
        <v>26</v>
      </c>
    </row>
    <row r="6" spans="1:4" x14ac:dyDescent="0.35">
      <c r="A6" t="s">
        <v>20</v>
      </c>
      <c r="B6">
        <f>0.02*B3</f>
        <v>4400</v>
      </c>
      <c r="D6" s="3" t="s">
        <v>26</v>
      </c>
    </row>
    <row r="7" spans="1:4" x14ac:dyDescent="0.35">
      <c r="A7" t="s">
        <v>20</v>
      </c>
      <c r="B7">
        <f>0.02*B4</f>
        <v>3200</v>
      </c>
    </row>
    <row r="8" spans="1:4" x14ac:dyDescent="0.35">
      <c r="A8" t="s">
        <v>6</v>
      </c>
      <c r="B8">
        <v>0</v>
      </c>
    </row>
    <row r="9" spans="1:4" x14ac:dyDescent="0.35">
      <c r="A9" t="s">
        <v>7</v>
      </c>
      <c r="B9">
        <v>2</v>
      </c>
    </row>
    <row r="10" spans="1:4" x14ac:dyDescent="0.35">
      <c r="A10" t="s">
        <v>1</v>
      </c>
      <c r="B10">
        <v>30</v>
      </c>
    </row>
    <row r="11" spans="1:4" x14ac:dyDescent="0.35">
      <c r="A11" t="s">
        <v>2</v>
      </c>
      <c r="B11">
        <v>15</v>
      </c>
    </row>
    <row r="12" spans="1:4" x14ac:dyDescent="0.35">
      <c r="A12" t="s">
        <v>3</v>
      </c>
      <c r="B12" s="1">
        <v>0.03</v>
      </c>
      <c r="C12" s="1">
        <v>0.05</v>
      </c>
    </row>
    <row r="14" spans="1:4" x14ac:dyDescent="0.35">
      <c r="B14" t="s">
        <v>27</v>
      </c>
      <c r="C14" t="s">
        <v>28</v>
      </c>
    </row>
    <row r="15" spans="1:4" x14ac:dyDescent="0.35">
      <c r="A15" t="s">
        <v>22</v>
      </c>
      <c r="B15" s="2">
        <f>($B1+$B$5)*(B$12*(1+B$12)^$B$10)/((1+B$12)^$B$10-1)</f>
        <v>34031.172467350807</v>
      </c>
      <c r="C15" s="2">
        <f>($B1+$B$5)*(C$12*(1+C$12)^$B$10)/((1+C$12)^$B$10-1)</f>
        <v>43390.998535856568</v>
      </c>
    </row>
    <row r="16" spans="1:4" x14ac:dyDescent="0.35">
      <c r="A16" t="s">
        <v>23</v>
      </c>
      <c r="B16" s="2">
        <f>($B2+$B$5)*(B$12*(1+B$12)^$B$10)/((1+B$12)^$B$10-1)</f>
        <v>26531.341347273676</v>
      </c>
      <c r="C16" s="2">
        <f>($B2+$B$5)*(C$12*(1+C$12)^$B$10)/((1+C$12)^$B$10-1)</f>
        <v>33828.437579055906</v>
      </c>
    </row>
    <row r="17" spans="1:3" x14ac:dyDescent="0.35">
      <c r="A17" t="s">
        <v>24</v>
      </c>
      <c r="B17" s="2">
        <f>($B3+B6)*(B$12*(1+B$12)^$B$11)/((1+B$12)^$B$11-1)</f>
        <v>18797.220655737441</v>
      </c>
      <c r="C17" s="2">
        <f>($B3+C6)*(C$12*(1+C$12)^$B$11)/((1+C$12)^$B$11-1)</f>
        <v>21195.303274033755</v>
      </c>
    </row>
    <row r="18" spans="1:3" x14ac:dyDescent="0.35">
      <c r="A18" t="s">
        <v>25</v>
      </c>
      <c r="B18" s="2">
        <f>($B4+B7)*(B$12*(1+B$12)^$B$11)/((1+B$12)^$B$11-1)</f>
        <v>13670.705931445411</v>
      </c>
      <c r="C18" s="2">
        <f>($B4+C7)*(C$12*(1+C$12)^$B$11)/((1+C$12)^$B$11-1)</f>
        <v>15414.766017479098</v>
      </c>
    </row>
    <row r="32" spans="1:3" x14ac:dyDescent="0.35">
      <c r="A32" t="s">
        <v>8</v>
      </c>
    </row>
    <row r="33" spans="1:13" x14ac:dyDescent="0.35">
      <c r="A33" t="s">
        <v>29</v>
      </c>
      <c r="J33" t="s">
        <v>30</v>
      </c>
      <c r="K33" t="s">
        <v>35</v>
      </c>
    </row>
    <row r="34" spans="1:13" x14ac:dyDescent="0.35">
      <c r="A34" t="s">
        <v>31</v>
      </c>
      <c r="J34" t="s">
        <v>32</v>
      </c>
      <c r="K34" t="s">
        <v>33</v>
      </c>
      <c r="M34" t="s">
        <v>36</v>
      </c>
    </row>
    <row r="35" spans="1:13" x14ac:dyDescent="0.35">
      <c r="A35" t="s">
        <v>34</v>
      </c>
      <c r="J35" t="s">
        <v>32</v>
      </c>
      <c r="K35" t="s">
        <v>33</v>
      </c>
    </row>
    <row r="36" spans="1:13" x14ac:dyDescent="0.35">
      <c r="A36" t="s">
        <v>9</v>
      </c>
    </row>
    <row r="37" spans="1:13" x14ac:dyDescent="0.35">
      <c r="A37" t="s">
        <v>17</v>
      </c>
    </row>
    <row r="38" spans="1:13" x14ac:dyDescent="0.35">
      <c r="A3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87FF-1052-4543-AB50-0C32197CACBC}">
  <dimension ref="A1:C29"/>
  <sheetViews>
    <sheetView workbookViewId="0">
      <selection activeCell="C1" sqref="C1"/>
    </sheetView>
  </sheetViews>
  <sheetFormatPr baseColWidth="10" defaultRowHeight="14.5" x14ac:dyDescent="0.35"/>
  <cols>
    <col min="1" max="1" width="25" customWidth="1"/>
  </cols>
  <sheetData>
    <row r="1" spans="1:3" x14ac:dyDescent="0.35">
      <c r="B1" s="2" t="s">
        <v>15</v>
      </c>
      <c r="C1" s="2" t="s">
        <v>16</v>
      </c>
    </row>
    <row r="2" spans="1:3" x14ac:dyDescent="0.35">
      <c r="A2" t="s">
        <v>10</v>
      </c>
      <c r="B2">
        <v>0.89500000000000002</v>
      </c>
      <c r="C2">
        <v>0.92</v>
      </c>
    </row>
    <row r="3" spans="1:3" x14ac:dyDescent="0.35">
      <c r="A3" t="s">
        <v>11</v>
      </c>
      <c r="B3">
        <v>0.92</v>
      </c>
      <c r="C3">
        <v>0.93500000000000005</v>
      </c>
    </row>
    <row r="6" spans="1:3" x14ac:dyDescent="0.35">
      <c r="A6" t="s">
        <v>14</v>
      </c>
      <c r="B6">
        <f>B2*B3</f>
        <v>0.82340000000000002</v>
      </c>
      <c r="C6">
        <f>C3*C2</f>
        <v>0.86020000000000008</v>
      </c>
    </row>
    <row r="8" spans="1:3" x14ac:dyDescent="0.35">
      <c r="B8">
        <v>2025</v>
      </c>
      <c r="C8">
        <v>2025</v>
      </c>
    </row>
    <row r="28" spans="1:1" x14ac:dyDescent="0.35">
      <c r="A28" t="s">
        <v>12</v>
      </c>
    </row>
    <row r="29" spans="1:1" x14ac:dyDescent="0.35">
      <c r="A29" t="s">
        <v>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CAPEX</vt:lpstr>
      <vt:lpstr>Battery 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</dc:creator>
  <cp:lastModifiedBy>IEE-Workstation</cp:lastModifiedBy>
  <dcterms:created xsi:type="dcterms:W3CDTF">2015-06-05T18:19:34Z</dcterms:created>
  <dcterms:modified xsi:type="dcterms:W3CDTF">2026-10-13T08:25:19Z</dcterms:modified>
</cp:coreProperties>
</file>