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98FA4924-A3F4-4B77-8855-ED1312DF38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8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<sst xmlns="http://schemas.openxmlformats.org/spreadsheetml/2006/main" count="969" uniqueCount="374">
  <si>
    <t>Power - Thermal Generators</t>
  </si>
  <si>
    <t>Format:</t>
  </si>
  <si>
    <t>v0.1.1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</si>
  <si>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</si>
  <si>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</si>
  <si>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</si>
  <si>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</si>
  <si>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</si>
  <si>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</si>
  <si>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</si>
  <si>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</si>
  <si>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RampUp</t>
  </si>
  <si>
    <t>RampDw</t>
  </si>
  <si>
    <t>MinUpTime</t>
  </si>
  <si>
    <t>MinDownTime</t>
  </si>
  <si>
    <t>Qmax</t>
  </si>
  <si>
    <t>Qmin</t>
  </si>
  <si>
    <t>InertiaConst</t>
  </si>
  <si>
    <t>FuelCost</t>
  </si>
  <si>
    <t>Efficiency</t>
  </si>
  <si>
    <t>CommitConsumption</t>
  </si>
  <si>
    <t>OMVarCost</t>
  </si>
  <si>
    <t>StartupConsumption</t>
  </si>
  <si>
    <t>EFOR</t>
  </si>
  <si>
    <t>EnableInvest</t>
  </si>
  <si>
    <t>InvestCost</t>
  </si>
  <si>
    <t>FirmCapCoef</t>
  </si>
  <si>
    <t>CO2Emis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</si>
  <si>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</si>
  <si>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</si>
  <si>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</si>
  <si>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</si>
  <si>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</si>
  <si>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</si>
  <si>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</si>
  <si>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</si>
  <si>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</si>
  <si>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</si>
  <si>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</si>
  <si>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</si>
  <si>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</si>
  <si>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</si>
  <si>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</si>
  <si>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</si>
  <si>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</si>
  <si>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</si>
  <si>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</si>
  <si>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</si>
  <si>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</si>
  <si>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Whether unit exists (1) or not (0)</t>
  </si>
  <si>
    <t>Maximum active power output of the unit</t>
  </si>
  <si>
    <t>Minimum active power output of the unit</t>
  </si>
  <si>
    <t>Rate at which the unit can increase its output per time step</t>
  </si>
  <si>
    <t>Rate at which the unit can decrease its output per time step</t>
  </si>
  <si>
    <t>Minimum time the unit has to be on after a startup</t>
  </si>
  <si>
    <t>Minimum time the unit has to be off after a shutdown</t>
  </si>
  <si>
    <t>Maximum reactive power output of the unit</t>
  </si>
  <si>
    <t>Minimum reactive power output of the unit</t>
  </si>
  <si>
    <t>Inertia constant H of the unit</t>
  </si>
  <si>
    <t>Fuel cost of the unit</t>
  </si>
  <si>
    <t>Efficiency calculated as 1/input for 1 MWh, i.e. 0.5 (or 50%) if 2 MWh fuel are required for 1 MWh electricity</t>
  </si>
  <si>
    <t>Consumption while unit is turned on (regardless of output)</t>
  </si>
  <si>
    <t>Operation and maintenance cost of the unit</t>
  </si>
  <si>
    <t>Consumption for each startup</t>
  </si>
  <si>
    <t>Equivalent forced outage rate of the unit</t>
  </si>
  <si>
    <t>Whether the model can invest in the unit (1) or not (0)</t>
  </si>
  <si>
    <t>Annualized investment cost per MW</t>
  </si>
  <si>
    <t>Firm capacity coefficient of the unit</t>
  </si>
  <si>
    <t>Specific CO2 emissions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</si>
  <si>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</si>
  <si>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</si>
  <si>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</si>
  <si>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</si>
  <si>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</si>
  <si>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</si>
  <si>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</si>
  <si>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</si>
  <si>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</si>
  <si>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</si>
  <si>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</si>
  <si>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[0, 1]</t>
  </si>
  <si>
    <t>[MW]</t>
  </si>
  <si>
    <t>[h]</t>
  </si>
  <si>
    <t>[MVAr]</t>
  </si>
  <si>
    <t>[s]</t>
  </si>
  <si>
    <t>[€/MWh]</t>
  </si>
  <si>
    <t>[%, 0-1]</t>
  </si>
  <si>
    <t>[MWh/h]</t>
  </si>
  <si>
    <t>[MWh]</t>
  </si>
  <si>
    <t>[€/MW/year]</t>
  </si>
  <si>
    <t>[tCO2/MWh]</t>
  </si>
  <si>
    <t>[Year]</t>
  </si>
  <si>
    <t>[°]</t>
  </si>
  <si>
    <t>[dataPackage]</t>
  </si>
  <si>
    <t>[dataSource]</t>
  </si>
  <si>
    <t>Nuclear</t>
  </si>
  <si>
    <t>TestPackage1</t>
  </si>
  <si>
    <t>TestSource1</t>
  </si>
  <si>
    <t>Coal</t>
  </si>
  <si>
    <t>Gas</t>
  </si>
  <si>
    <t>TestSource1-Manual2.1</t>
  </si>
  <si>
    <t>AL00GASCCGTOLD2</t>
  </si>
  <si>
    <t>AL00</t>
  </si>
  <si>
    <t>AL00GASCCGTNEW</t>
  </si>
  <si>
    <t>AT00HYDROGENCCGT</t>
  </si>
  <si>
    <t>H2</t>
  </si>
  <si>
    <t>AT00</t>
  </si>
  <si>
    <t>AT00OTHERNONRES1</t>
  </si>
  <si>
    <t>OtherNoRES</t>
  </si>
  <si>
    <t>BA00LIGNITEOLD1</t>
  </si>
  <si>
    <t>BA00</t>
  </si>
  <si>
    <t>BA00LIGNITEOLD2</t>
  </si>
  <si>
    <t>BA00LIGNITENEW</t>
  </si>
  <si>
    <t>BA00GASCCGTNEW</t>
  </si>
  <si>
    <t>BE00COALOLD2</t>
  </si>
  <si>
    <t>BE00</t>
  </si>
  <si>
    <t>BE00GASCCGTNEW</t>
  </si>
  <si>
    <t>BE00GASOCGTNEW</t>
  </si>
  <si>
    <t>BE00HEAVYOILOLD1</t>
  </si>
  <si>
    <t>Oil</t>
  </si>
  <si>
    <t>BE00GASCCGTPRESENT2</t>
  </si>
  <si>
    <t>BE00HYDROGENCCGT</t>
  </si>
  <si>
    <t>BE00OTHERNONRES1</t>
  </si>
  <si>
    <t>BG00NUCLEAR</t>
  </si>
  <si>
    <t>BG00</t>
  </si>
  <si>
    <t>BG00LIGNITEOLD1</t>
  </si>
  <si>
    <t>BG00LIGNITEOLD2</t>
  </si>
  <si>
    <t>BG00GASCONVOLD1</t>
  </si>
  <si>
    <t>BG00GASCCGTNEW</t>
  </si>
  <si>
    <t>BG00GASOCGTNEW</t>
  </si>
  <si>
    <t>BG00GASCCGTPRESENT2</t>
  </si>
  <si>
    <t>CH00OTHERNONRES1</t>
  </si>
  <si>
    <t>CH00</t>
  </si>
  <si>
    <t>CY00GASCONVOLD2</t>
  </si>
  <si>
    <t>CY00</t>
  </si>
  <si>
    <t>CY00GASCCGTNEW</t>
  </si>
  <si>
    <t>CZ00NUCLEAR</t>
  </si>
  <si>
    <t>CZ00</t>
  </si>
  <si>
    <t>CZ00GASCCGTOLD2</t>
  </si>
  <si>
    <t>CZ00GASCCGTNEW</t>
  </si>
  <si>
    <t>CZ00GASOCGTNEW</t>
  </si>
  <si>
    <t>CZ00GASCCGTPRESENT1</t>
  </si>
  <si>
    <t>CZ00GASCCGTPRESENT2</t>
  </si>
  <si>
    <t>CZ00HYDROGENFUELCELL</t>
  </si>
  <si>
    <t>CZ00OTHERNONRES2</t>
  </si>
  <si>
    <t>DE00GASCONVOLD2</t>
  </si>
  <si>
    <t>DE00</t>
  </si>
  <si>
    <t>DE00GASCCGTOLD2</t>
  </si>
  <si>
    <t>DE00GASCCGTNEW</t>
  </si>
  <si>
    <t>DE00GASOCGTNEW</t>
  </si>
  <si>
    <t>DE00GASCCGTPRESENT1</t>
  </si>
  <si>
    <t>DE00GASCCGTPRESENT2</t>
  </si>
  <si>
    <t>DE00HYDROGENCCGT</t>
  </si>
  <si>
    <t>DE00OTHERNONRES1</t>
  </si>
  <si>
    <t>DKE1COALOLD1</t>
  </si>
  <si>
    <t>DKE1</t>
  </si>
  <si>
    <t>DKE1COALNEW</t>
  </si>
  <si>
    <t>DKE1GASOCGTOLD</t>
  </si>
  <si>
    <t>DKE1GASOCGTNEW</t>
  </si>
  <si>
    <t>DKE1LIGHTOIL</t>
  </si>
  <si>
    <t>DKE1HEAVYOILOLD1</t>
  </si>
  <si>
    <t>DKW1COALOLD1</t>
  </si>
  <si>
    <t>DKW1</t>
  </si>
  <si>
    <t>DKW1GASCCGTOLD2</t>
  </si>
  <si>
    <t>DKW1GASOCGTOLD</t>
  </si>
  <si>
    <t>DKW1GASOCGTNEW</t>
  </si>
  <si>
    <t>DKW1LIGHTOIL</t>
  </si>
  <si>
    <t>EE00GASCCGTNEW</t>
  </si>
  <si>
    <t>EE00</t>
  </si>
  <si>
    <t>EE00OILSHALENEW</t>
  </si>
  <si>
    <t>EE00OTHERNONRES1</t>
  </si>
  <si>
    <t>ES00GASCCGTPRESENT1</t>
  </si>
  <si>
    <t>ES00</t>
  </si>
  <si>
    <t>ES00OTHERNONRES1</t>
  </si>
  <si>
    <t>FI00NUCLEAR</t>
  </si>
  <si>
    <t>FI00</t>
  </si>
  <si>
    <t>FI00COALOLD2</t>
  </si>
  <si>
    <t>FI00COALNEW</t>
  </si>
  <si>
    <t>FI00GASCCGTOLD2</t>
  </si>
  <si>
    <t>FI00GASOCGTOLD</t>
  </si>
  <si>
    <t>FI00GASOCGTNEW</t>
  </si>
  <si>
    <t>FI00GASCCGTPRESENT1</t>
  </si>
  <si>
    <t>FI00OTHERNONRES1</t>
  </si>
  <si>
    <t>FR00NUCLEAR</t>
  </si>
  <si>
    <t>FR00</t>
  </si>
  <si>
    <t>FR00GASCCGTPRESENT1</t>
  </si>
  <si>
    <t>FR00GASCCGTPRESENT2</t>
  </si>
  <si>
    <t>FR00HYDROGENCCGT</t>
  </si>
  <si>
    <t>FR00OTHERNONRES1</t>
  </si>
  <si>
    <t>FR00OTHERNONRES2</t>
  </si>
  <si>
    <t>FR15LIGHTOIL</t>
  </si>
  <si>
    <t>FR15</t>
  </si>
  <si>
    <t>GR00GASCCGTNEW</t>
  </si>
  <si>
    <t>GR00</t>
  </si>
  <si>
    <t>GR00GASCCGTPRESENT2</t>
  </si>
  <si>
    <t>HR00GASCCGTNEW</t>
  </si>
  <si>
    <t>HR00</t>
  </si>
  <si>
    <t>HR00GASCCGTPRESENT2</t>
  </si>
  <si>
    <t>HR00OTHERNONRES1</t>
  </si>
  <si>
    <t>HU00NUCLEAR</t>
  </si>
  <si>
    <t>HU00</t>
  </si>
  <si>
    <t>HU00GASCCGTOLD2</t>
  </si>
  <si>
    <t>HU00GASCCGTNEW</t>
  </si>
  <si>
    <t>HU00GASOCGTOLD</t>
  </si>
  <si>
    <t>HU00LIGHTOIL</t>
  </si>
  <si>
    <t>HU00GASCCGTPRESENT1</t>
  </si>
  <si>
    <t>HU00OTHERNONRES1</t>
  </si>
  <si>
    <t>IE00LIGNITEOLD1</t>
  </si>
  <si>
    <t>IE00</t>
  </si>
  <si>
    <t>IE00GASCCGTOLD1</t>
  </si>
  <si>
    <t>IE00GASCCGTOLD2</t>
  </si>
  <si>
    <t>IE00GASCCGTNEW</t>
  </si>
  <si>
    <t>IE00GASOCGTNEW</t>
  </si>
  <si>
    <t>IE00LIGHTOIL</t>
  </si>
  <si>
    <t>IE00GASCCGTPRESENT1</t>
  </si>
  <si>
    <t>IE00GASCCGTPRESENT2</t>
  </si>
  <si>
    <t>IE00HYDROGENCCGT</t>
  </si>
  <si>
    <t>ITCAGASCCGTNEW</t>
  </si>
  <si>
    <t>ITCA</t>
  </si>
  <si>
    <t>ITCAGASOCGTOLD</t>
  </si>
  <si>
    <t>ITCAOTHERNONRES1</t>
  </si>
  <si>
    <t>ITCNGASCCGTOLD2</t>
  </si>
  <si>
    <t>ITCN</t>
  </si>
  <si>
    <t>ITCNGASOCGTOLD</t>
  </si>
  <si>
    <t>ITCNGASOCGTNEW</t>
  </si>
  <si>
    <t>ITCNGASCCGTPRESENT1</t>
  </si>
  <si>
    <t>ITCNOTHERNONRES1</t>
  </si>
  <si>
    <t>ITCNOTHERNONRES2</t>
  </si>
  <si>
    <t>ITCSGASCONVOLD2</t>
  </si>
  <si>
    <t>ITCS</t>
  </si>
  <si>
    <t>ITCSGASCCGTOLD2</t>
  </si>
  <si>
    <t>ITCSGASCCGTNEW</t>
  </si>
  <si>
    <t>ITCSGASOCGTOLD</t>
  </si>
  <si>
    <t>ITCSGASOCGTNEW</t>
  </si>
  <si>
    <t>ITCSGASCCGTPRESENT1</t>
  </si>
  <si>
    <t>ITCSGASCCGTPRESENT2</t>
  </si>
  <si>
    <t>ITCSOTHERNONRES1</t>
  </si>
  <si>
    <t>ITCSOTHERNONRES2</t>
  </si>
  <si>
    <t>ITN1GASCONVOLD1</t>
  </si>
  <si>
    <t>ITN1</t>
  </si>
  <si>
    <t>ITN1GASCONVOLD2</t>
  </si>
  <si>
    <t>ITN1GASCCGTOLD2</t>
  </si>
  <si>
    <t>ITN1GASCCGTNEW</t>
  </si>
  <si>
    <t>ITN1GASOCGTNEW</t>
  </si>
  <si>
    <t>ITN1LIGHTOIL</t>
  </si>
  <si>
    <t>ITN1GASCCGTPRESENT1</t>
  </si>
  <si>
    <t>ITN1GASCCGTPRESENT2</t>
  </si>
  <si>
    <t>ITN1OTHERNONRES1</t>
  </si>
  <si>
    <t>ITS1GASCCGTNEW</t>
  </si>
  <si>
    <t>ITS1</t>
  </si>
  <si>
    <t>ITS1GASOCGTOLD</t>
  </si>
  <si>
    <t>ITS1GASOCGTNEW</t>
  </si>
  <si>
    <t>ITS1OTHERNONRES1</t>
  </si>
  <si>
    <t>ITSAOTHERNONRES1</t>
  </si>
  <si>
    <t>ITSA</t>
  </si>
  <si>
    <t>ITSAOTHERNONRES2</t>
  </si>
  <si>
    <t>ITSIGASCCGTOLD2</t>
  </si>
  <si>
    <t>ITSI</t>
  </si>
  <si>
    <t>ITSIGASCCGTNEW</t>
  </si>
  <si>
    <t>ITSIGASOCGTOLD</t>
  </si>
  <si>
    <t>ITSIGASOCGTNEW</t>
  </si>
  <si>
    <t>ITSIGASCCGTPRESENT1</t>
  </si>
  <si>
    <t>ITSIGASCCGTPRESENT2</t>
  </si>
  <si>
    <t>ITSIOTHERNONRES1</t>
  </si>
  <si>
    <t>ITSIOTHERNONRES2</t>
  </si>
  <si>
    <t>LT00GASCONVOLD2</t>
  </si>
  <si>
    <t>LT00</t>
  </si>
  <si>
    <t>LT00GASCCGTPRESENT2</t>
  </si>
  <si>
    <t>LT00OTHERNONRES1</t>
  </si>
  <si>
    <t>LUG1HYDROGENCCGT</t>
  </si>
  <si>
    <t>LUG1</t>
  </si>
  <si>
    <t>LUG1OTHERNONRES1</t>
  </si>
  <si>
    <t>LV00GASCCGTNEW</t>
  </si>
  <si>
    <t>LV00</t>
  </si>
  <si>
    <t>LV00GASCCGTPRESENT1</t>
  </si>
  <si>
    <t>ME00LIGNITENEW</t>
  </si>
  <si>
    <t>ME00</t>
  </si>
  <si>
    <t>MK00GASCONVOLD1</t>
  </si>
  <si>
    <t>MK00</t>
  </si>
  <si>
    <t>MK00GASCCGTNEW</t>
  </si>
  <si>
    <t>MT00GASCCGTOLD2</t>
  </si>
  <si>
    <t>MT00</t>
  </si>
  <si>
    <t>MT00GASCCGTPRESENT2</t>
  </si>
  <si>
    <t>NL00GASCCGTOLD2</t>
  </si>
  <si>
    <t>NL00</t>
  </si>
  <si>
    <t>NL00GASOCGTOLD</t>
  </si>
  <si>
    <t>NL00GASOCGTNEW</t>
  </si>
  <si>
    <t>NL00GASCCGTPRESENT2</t>
  </si>
  <si>
    <t>NL00HYDROGENCCGT</t>
  </si>
  <si>
    <t>NL00OTHERNONRES1</t>
  </si>
  <si>
    <t>NL00OTHERNONRES2</t>
  </si>
  <si>
    <t>NL00OTHERNONRES3</t>
  </si>
  <si>
    <t>NL00OTHERNONRES4</t>
  </si>
  <si>
    <t>NL00OTHERNONRES5</t>
  </si>
  <si>
    <t>NOM1OTHERNONRES1</t>
  </si>
  <si>
    <t>NOM1</t>
  </si>
  <si>
    <t>NON1OTHERNONRES1</t>
  </si>
  <si>
    <t>NON1</t>
  </si>
  <si>
    <t>NOS0OTHERNONRES1</t>
  </si>
  <si>
    <t>NOS0</t>
  </si>
  <si>
    <t>PL00NUCLEAR</t>
  </si>
  <si>
    <t>PL00</t>
  </si>
  <si>
    <t>PL00COALOLD1</t>
  </si>
  <si>
    <t>PL00COALOLD2</t>
  </si>
  <si>
    <t>PL00COALNEW</t>
  </si>
  <si>
    <t>PL00LIGNITEOLD1</t>
  </si>
  <si>
    <t>PL00LIGNITEOLD2</t>
  </si>
  <si>
    <t>PL00GASCCGTNEW</t>
  </si>
  <si>
    <t>PL00HYDROGENCCGT</t>
  </si>
  <si>
    <t>PL00OTHERNONRES1</t>
  </si>
  <si>
    <t>PL00OTHERNONRES2</t>
  </si>
  <si>
    <t>PL00OTHERNONRES3</t>
  </si>
  <si>
    <t>PL00OTHERNONRES4</t>
  </si>
  <si>
    <t>PL00OTHERNONRES5</t>
  </si>
  <si>
    <t>PL00OTHERNONRES6</t>
  </si>
  <si>
    <t>PL00OTHERNONRES7</t>
  </si>
  <si>
    <t>PL00OTHERNONRES8</t>
  </si>
  <si>
    <t>PT00GASCCGTPRESENT2</t>
  </si>
  <si>
    <t>PT00</t>
  </si>
  <si>
    <t>PT00OTHERNONRES1</t>
  </si>
  <si>
    <t>RO00NUCLEAR</t>
  </si>
  <si>
    <t>RO00</t>
  </si>
  <si>
    <t>RO00GASCONVOLD1</t>
  </si>
  <si>
    <t>RO00GASCCGTNEW</t>
  </si>
  <si>
    <t>RO00GASOCGTNEW</t>
  </si>
  <si>
    <t>RS00LIGNITEOLD1</t>
  </si>
  <si>
    <t>RS00</t>
  </si>
  <si>
    <t>RS00LIGNITEOLD2</t>
  </si>
  <si>
    <t>RS00LIGNITENEW</t>
  </si>
  <si>
    <t>RS00GASCONVOLD1</t>
  </si>
  <si>
    <t>RS00GASCCGTNEW</t>
  </si>
  <si>
    <t>SE01GASOCGTOLD</t>
  </si>
  <si>
    <t>SE01</t>
  </si>
  <si>
    <t>SE03NUCLEAR</t>
  </si>
  <si>
    <t>SE03</t>
  </si>
  <si>
    <t>SI00NUCLEAR</t>
  </si>
  <si>
    <t>SI00</t>
  </si>
  <si>
    <t>SI00COALOLD2</t>
  </si>
  <si>
    <t>SI00LIGNITEOLD2</t>
  </si>
  <si>
    <t>SI00GASCCGTNEW</t>
  </si>
  <si>
    <t>SI00GASOCGTOLD</t>
  </si>
  <si>
    <t>SI00OTHERNONRES1</t>
  </si>
  <si>
    <t>SK00NUCLEAR</t>
  </si>
  <si>
    <t>SK00</t>
  </si>
  <si>
    <t>SK00COALOLD1</t>
  </si>
  <si>
    <t>SK00COALNEW</t>
  </si>
  <si>
    <t>SK00LIGNITEOLD1</t>
  </si>
  <si>
    <t>SK00LIGNITENEW</t>
  </si>
  <si>
    <t>SK00GASCONVOLD1</t>
  </si>
  <si>
    <t>SK00GASCONVOLD2</t>
  </si>
  <si>
    <t>SK00GASCCGTOLD1</t>
  </si>
  <si>
    <t>SK00GASCCGTNEW</t>
  </si>
  <si>
    <t>SK00HEAVYOILOLD1</t>
  </si>
  <si>
    <t>SK00GASCCGTPRESENT1</t>
  </si>
  <si>
    <t>SK00OTHERNONRES1</t>
  </si>
  <si>
    <t>UK00NUCLEAR</t>
  </si>
  <si>
    <t>UK00</t>
  </si>
  <si>
    <t>UK00GASCONVOLD1</t>
  </si>
  <si>
    <t>UK00GASCONVOLD2</t>
  </si>
  <si>
    <t>UK00GASCCGTCCS</t>
  </si>
  <si>
    <t>UK00GASOCGTOLD</t>
  </si>
  <si>
    <t>UK00GASCCGTPRESENT1</t>
  </si>
  <si>
    <t>UK00OTHERNONRES1</t>
  </si>
  <si>
    <t>UK00OTHERNONRES2</t>
  </si>
  <si>
    <t>UK00OTHERNONRES3</t>
  </si>
  <si>
    <t>UK00OTHERNONRES4</t>
  </si>
  <si>
    <t>UKNILIGNITEOLD1</t>
  </si>
  <si>
    <t>UKNI</t>
  </si>
  <si>
    <t>UKNIGASCCGTOLD2</t>
  </si>
  <si>
    <t>UKNIGASCCGTNEW</t>
  </si>
  <si>
    <t>UKNIGASOCGTOLD</t>
  </si>
  <si>
    <t>UKNILIGHTOIL</t>
  </si>
  <si>
    <t>UKNIGASCCGTPRESENT2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</si>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</sst>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0" fillId="8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256"/>
  <sheetViews>
    <sheetView showGridLines="0" tabSelected="1" zoomScale="85" zoomScaleNormal="85" workbookViewId="0">
      <pane xSplit="2" ySplit="7" topLeftCell="C8" activePane="bottomRight" state="frozen"/>
      <selection pane="topRight"/>
      <selection pane="bottomLeft"/>
      <selection pane="bottomRight" activeCell="W8" sqref="W8:W256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8" width="15.7109375" customWidth="1"/>
    <col min="9" max="10" width="17.5703125" customWidth="1"/>
    <col min="11" max="16" width="15.7109375" customWidth="1"/>
    <col min="17" max="17" width="28.7109375" customWidth="1"/>
    <col min="18" max="18" width="23.7109375" customWidth="1"/>
    <col min="19" max="19" width="15.7109375" customWidth="1"/>
    <col min="20" max="20" width="22.7109375" customWidth="1"/>
    <col min="21" max="25" width="15.7109375" customWidth="1"/>
    <col min="26" max="27" width="20.140625" customWidth="1"/>
    <col min="28" max="29" width="15.7109375" customWidth="1"/>
    <col min="30" max="31" width="24.57031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</row>
    <row r="4" spans="1:31" x14ac:dyDescent="0.2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39</v>
      </c>
      <c r="AA4" s="6" t="s">
        <v>40</v>
      </c>
      <c r="AB4" s="6" t="s">
        <v>41</v>
      </c>
      <c r="AC4" s="6" t="s">
        <v>42</v>
      </c>
      <c r="AD4" s="6" t="s">
        <v>43</v>
      </c>
      <c r="AE4" s="6" t="s">
        <v>44</v>
      </c>
    </row>
    <row r="5" spans="1:31" ht="60" customHeight="1" x14ac:dyDescent="0.25">
      <c r="A5" s="7"/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30</v>
      </c>
      <c r="AC5" s="7" t="s">
        <v>31</v>
      </c>
      <c r="AD5" s="7" t="s">
        <v>71</v>
      </c>
      <c r="AE5" s="7" t="s">
        <v>72</v>
      </c>
    </row>
    <row r="6" spans="1:31" ht="30" customHeight="1" x14ac:dyDescent="0.25">
      <c r="A6" s="8"/>
      <c r="B6" s="8" t="s">
        <v>73</v>
      </c>
      <c r="C6" s="8" t="s">
        <v>74</v>
      </c>
      <c r="D6" s="8" t="s">
        <v>74</v>
      </c>
      <c r="E6" s="8" t="s">
        <v>74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74</v>
      </c>
      <c r="AC6" s="8" t="s">
        <v>74</v>
      </c>
      <c r="AD6" s="8" t="s">
        <v>75</v>
      </c>
      <c r="AE6" s="8" t="s">
        <v>75</v>
      </c>
    </row>
    <row r="7" spans="1:31" x14ac:dyDescent="0.25">
      <c r="A7" s="9"/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81</v>
      </c>
      <c r="I7" s="9" t="s">
        <v>81</v>
      </c>
      <c r="J7" s="9" t="s">
        <v>81</v>
      </c>
      <c r="K7" s="9" t="s">
        <v>82</v>
      </c>
      <c r="L7" s="9" t="s">
        <v>82</v>
      </c>
      <c r="M7" s="9" t="s">
        <v>83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85</v>
      </c>
      <c r="T7" s="9" t="s">
        <v>88</v>
      </c>
      <c r="U7" s="9" t="s">
        <v>86</v>
      </c>
      <c r="V7" s="9" t="s">
        <v>80</v>
      </c>
      <c r="W7" s="9" t="s">
        <v>89</v>
      </c>
      <c r="X7" s="9" t="s">
        <v>86</v>
      </c>
      <c r="Y7" s="9" t="s">
        <v>90</v>
      </c>
      <c r="Z7" s="9" t="s">
        <v>91</v>
      </c>
      <c r="AA7" s="9" t="s">
        <v>91</v>
      </c>
      <c r="AB7" s="9" t="s">
        <v>92</v>
      </c>
      <c r="AC7" s="9" t="s">
        <v>92</v>
      </c>
      <c r="AD7" s="9" t="s">
        <v>93</v>
      </c>
      <c r="AE7" s="9" t="s">
        <v>94</v>
      </c>
    </row>
    <row r="8" spans="1:31" x14ac:dyDescent="0.25">
      <c r="A8" s="10"/>
      <c r="B8" s="11"/>
      <c r="C8" s="12" t="s">
        <v>101</v>
      </c>
      <c r="D8" s="12" t="s">
        <v>99</v>
      </c>
      <c r="E8" s="12" t="s">
        <v>102</v>
      </c>
      <c r="F8" s="13">
        <v>1</v>
      </c>
      <c r="G8" s="14">
        <v>100</v>
      </c>
      <c r="H8" s="14">
        <v>0</v>
      </c>
      <c r="I8" s="14">
        <v>100</v>
      </c>
      <c r="J8" s="14">
        <v>100</v>
      </c>
      <c r="K8" s="13">
        <v>1</v>
      </c>
      <c r="L8" s="13">
        <v>1</v>
      </c>
      <c r="M8" s="14"/>
      <c r="N8" s="14"/>
      <c r="O8" s="14">
        <v>6</v>
      </c>
      <c r="P8" s="15">
        <v>20.395271999999999</v>
      </c>
      <c r="Q8" s="15">
        <v>1</v>
      </c>
      <c r="R8">
        <v>1.1620000000000001E-3</v>
      </c>
      <c r="S8" s="15">
        <v>42.46250079</v>
      </c>
      <c r="T8" s="15">
        <f>1/860.56</f>
        <v>1.1620340243562331E-3</v>
      </c>
      <c r="U8" s="15"/>
      <c r="V8" s="13">
        <v>0</v>
      </c>
      <c r="W8" s="15">
        <v>100000</v>
      </c>
      <c r="X8" s="16"/>
      <c r="Y8" s="17">
        <v>0.43</v>
      </c>
      <c r="Z8" s="13">
        <v>2010</v>
      </c>
      <c r="AA8" s="13">
        <v>2050</v>
      </c>
      <c r="AB8" s="18">
        <v>47.491300000000003</v>
      </c>
      <c r="AC8" s="18">
        <v>12.818199999999999</v>
      </c>
      <c r="AD8" s="19" t="s">
        <v>96</v>
      </c>
      <c r="AE8" s="19" t="s">
        <v>97</v>
      </c>
    </row>
    <row r="9" spans="1:31" x14ac:dyDescent="0.25">
      <c r="A9" s="10"/>
      <c r="B9" s="11"/>
      <c r="C9" s="12" t="s">
        <v>103</v>
      </c>
      <c r="D9" s="12" t="s">
        <v>99</v>
      </c>
      <c r="E9" s="12" t="s">
        <v>102</v>
      </c>
      <c r="F9" s="13">
        <v>1</v>
      </c>
      <c r="G9" s="14">
        <v>200</v>
      </c>
      <c r="H9" s="14">
        <v>0</v>
      </c>
      <c r="I9" s="14">
        <v>200</v>
      </c>
      <c r="J9" s="14">
        <v>200</v>
      </c>
      <c r="K9" s="13">
        <v>1</v>
      </c>
      <c r="L9" s="13">
        <v>1</v>
      </c>
      <c r="M9" s="14"/>
      <c r="N9" s="14"/>
      <c r="O9" s="14">
        <v>6</v>
      </c>
      <c r="P9" s="15">
        <v>20.395271999999999</v>
      </c>
      <c r="Q9" s="15">
        <v>1</v>
      </c>
      <c r="R9">
        <v>1.1620000000000001E-3</v>
      </c>
      <c r="S9" s="15">
        <v>33.969999209999997</v>
      </c>
      <c r="T9" s="15">
        <f t="shared" ref="T9:T72" si="0">1/860.56</f>
        <v>1.1620340243562331E-3</v>
      </c>
      <c r="U9" s="15"/>
      <c r="V9" s="13">
        <v>0</v>
      </c>
      <c r="W9" s="15">
        <v>100000</v>
      </c>
      <c r="X9" s="16"/>
      <c r="Y9" s="17">
        <v>0.34</v>
      </c>
      <c r="Z9" s="13">
        <v>2010</v>
      </c>
      <c r="AA9" s="13">
        <v>2050</v>
      </c>
      <c r="AB9" s="18">
        <v>46.77</v>
      </c>
      <c r="AC9" s="18">
        <v>13.746700000000001</v>
      </c>
      <c r="AD9" s="19" t="s">
        <v>96</v>
      </c>
      <c r="AE9" s="19" t="s">
        <v>97</v>
      </c>
    </row>
    <row r="10" spans="1:31" x14ac:dyDescent="0.25">
      <c r="A10" s="10"/>
      <c r="B10" s="11"/>
      <c r="C10" s="12" t="s">
        <v>104</v>
      </c>
      <c r="D10" s="12" t="s">
        <v>105</v>
      </c>
      <c r="E10" s="12" t="s">
        <v>106</v>
      </c>
      <c r="F10" s="13">
        <v>1</v>
      </c>
      <c r="G10" s="14">
        <v>3260.3</v>
      </c>
      <c r="H10" s="14">
        <v>0</v>
      </c>
      <c r="I10" s="14">
        <v>3260.3</v>
      </c>
      <c r="J10" s="14">
        <v>3260.3</v>
      </c>
      <c r="K10" s="13">
        <v>1</v>
      </c>
      <c r="L10" s="13">
        <v>1</v>
      </c>
      <c r="M10" s="14"/>
      <c r="N10" s="14"/>
      <c r="O10" s="14">
        <v>6</v>
      </c>
      <c r="P10" s="15">
        <v>54.473447999999991</v>
      </c>
      <c r="Q10" s="15">
        <v>1</v>
      </c>
      <c r="R10">
        <v>1.1620000000000001E-3</v>
      </c>
      <c r="S10" s="15">
        <v>90.729997889999993</v>
      </c>
      <c r="T10" s="15">
        <f t="shared" si="0"/>
        <v>1.1620340243562331E-3</v>
      </c>
      <c r="U10" s="15"/>
      <c r="V10" s="13">
        <v>0</v>
      </c>
      <c r="W10" s="15">
        <v>100000</v>
      </c>
      <c r="X10" s="16"/>
      <c r="Y10" s="17">
        <v>0</v>
      </c>
      <c r="Z10" s="13">
        <v>2010</v>
      </c>
      <c r="AA10" s="13">
        <v>2050</v>
      </c>
      <c r="AB10" s="18">
        <v>46.77</v>
      </c>
      <c r="AC10" s="18">
        <v>13.746700000000001</v>
      </c>
      <c r="AD10" s="19" t="s">
        <v>96</v>
      </c>
      <c r="AE10" s="19" t="s">
        <v>97</v>
      </c>
    </row>
    <row r="11" spans="1:31" x14ac:dyDescent="0.25">
      <c r="A11" s="10"/>
      <c r="B11" s="11"/>
      <c r="C11" s="12" t="s">
        <v>107</v>
      </c>
      <c r="D11" s="12" t="s">
        <v>108</v>
      </c>
      <c r="E11" s="12" t="s">
        <v>106</v>
      </c>
      <c r="F11" s="13">
        <v>1</v>
      </c>
      <c r="G11" s="14">
        <v>845.2</v>
      </c>
      <c r="H11" s="14">
        <v>0</v>
      </c>
      <c r="I11" s="14">
        <v>845.2</v>
      </c>
      <c r="J11" s="14">
        <v>845.2</v>
      </c>
      <c r="K11" s="13">
        <v>1</v>
      </c>
      <c r="L11" s="13">
        <v>1</v>
      </c>
      <c r="M11" s="14"/>
      <c r="N11" s="14"/>
      <c r="O11" s="14">
        <v>6</v>
      </c>
      <c r="P11" s="15">
        <v>70.73803199999999</v>
      </c>
      <c r="Q11" s="15">
        <v>1</v>
      </c>
      <c r="R11">
        <v>1.1620000000000001E-3</v>
      </c>
      <c r="S11" s="15">
        <v>196.36666757999998</v>
      </c>
      <c r="T11" s="15">
        <f t="shared" si="0"/>
        <v>1.1620340243562331E-3</v>
      </c>
      <c r="U11" s="15"/>
      <c r="V11" s="13">
        <v>0</v>
      </c>
      <c r="W11" s="15">
        <v>100000</v>
      </c>
      <c r="X11" s="16"/>
      <c r="Y11" s="17">
        <v>0</v>
      </c>
      <c r="Z11" s="13">
        <v>2010</v>
      </c>
      <c r="AA11" s="13">
        <v>2050</v>
      </c>
      <c r="AB11" s="18">
        <v>46.561055000000003</v>
      </c>
      <c r="AC11" s="18">
        <v>14.479570000000001</v>
      </c>
      <c r="AD11" s="19" t="s">
        <v>96</v>
      </c>
      <c r="AE11" s="19" t="s">
        <v>97</v>
      </c>
    </row>
    <row r="12" spans="1:31" x14ac:dyDescent="0.25">
      <c r="A12" s="10"/>
      <c r="B12" s="11"/>
      <c r="C12" s="12" t="s">
        <v>109</v>
      </c>
      <c r="D12" s="12" t="s">
        <v>98</v>
      </c>
      <c r="E12" s="12" t="s">
        <v>110</v>
      </c>
      <c r="F12" s="13">
        <v>1</v>
      </c>
      <c r="G12" s="14">
        <v>1063</v>
      </c>
      <c r="H12" s="14">
        <v>0</v>
      </c>
      <c r="I12" s="14">
        <v>1063</v>
      </c>
      <c r="J12" s="14">
        <v>1063</v>
      </c>
      <c r="K12" s="13">
        <v>1</v>
      </c>
      <c r="L12" s="13">
        <v>1</v>
      </c>
      <c r="M12" s="14"/>
      <c r="N12" s="14"/>
      <c r="O12" s="14">
        <v>6</v>
      </c>
      <c r="P12" s="15">
        <v>6.4541999999999993</v>
      </c>
      <c r="Q12" s="15">
        <v>1</v>
      </c>
      <c r="R12">
        <v>1.1620000000000001E-3</v>
      </c>
      <c r="S12" s="15">
        <v>18.42857175</v>
      </c>
      <c r="T12" s="15">
        <f t="shared" si="0"/>
        <v>1.1620340243562331E-3</v>
      </c>
      <c r="U12" s="15"/>
      <c r="V12" s="13">
        <v>0</v>
      </c>
      <c r="W12" s="15">
        <v>100000</v>
      </c>
      <c r="X12" s="16"/>
      <c r="Y12" s="17">
        <v>1.04</v>
      </c>
      <c r="Z12" s="13">
        <v>2010</v>
      </c>
      <c r="AA12" s="13">
        <v>2050</v>
      </c>
      <c r="AB12" s="18">
        <v>47.055199999999999</v>
      </c>
      <c r="AC12" s="18">
        <v>9.9000199999999996</v>
      </c>
      <c r="AD12" s="19" t="s">
        <v>96</v>
      </c>
      <c r="AE12" s="19" t="s">
        <v>97</v>
      </c>
    </row>
    <row r="13" spans="1:31" x14ac:dyDescent="0.25">
      <c r="A13" s="10"/>
      <c r="B13" s="11"/>
      <c r="C13" s="12" t="s">
        <v>111</v>
      </c>
      <c r="D13" s="12" t="s">
        <v>98</v>
      </c>
      <c r="E13" s="12" t="s">
        <v>110</v>
      </c>
      <c r="F13" s="13">
        <v>1</v>
      </c>
      <c r="G13" s="14">
        <v>275</v>
      </c>
      <c r="H13" s="14">
        <v>0</v>
      </c>
      <c r="I13" s="14">
        <v>275</v>
      </c>
      <c r="J13" s="14">
        <v>275</v>
      </c>
      <c r="K13" s="13">
        <v>1</v>
      </c>
      <c r="L13" s="13">
        <v>1</v>
      </c>
      <c r="M13" s="14"/>
      <c r="N13" s="14"/>
      <c r="O13" s="14">
        <v>6</v>
      </c>
      <c r="P13" s="15">
        <v>6.4541999999999993</v>
      </c>
      <c r="Q13" s="15">
        <v>1</v>
      </c>
      <c r="R13">
        <v>1.1620000000000001E-3</v>
      </c>
      <c r="S13" s="15">
        <v>16.125</v>
      </c>
      <c r="T13" s="15">
        <f t="shared" si="0"/>
        <v>1.1620340243562331E-3</v>
      </c>
      <c r="U13" s="15"/>
      <c r="V13" s="13">
        <v>0</v>
      </c>
      <c r="W13" s="15">
        <v>100000</v>
      </c>
      <c r="X13" s="16"/>
      <c r="Y13" s="17">
        <v>0.91</v>
      </c>
      <c r="Z13" s="13">
        <v>2010</v>
      </c>
      <c r="AA13" s="13">
        <v>2050</v>
      </c>
      <c r="AB13" s="18">
        <v>47.066462000000001</v>
      </c>
      <c r="AC13" s="18">
        <v>9.9157949999999992</v>
      </c>
      <c r="AD13" s="19" t="s">
        <v>96</v>
      </c>
      <c r="AE13" s="19" t="s">
        <v>97</v>
      </c>
    </row>
    <row r="14" spans="1:31" x14ac:dyDescent="0.25">
      <c r="A14" s="10"/>
      <c r="B14" s="11"/>
      <c r="C14" s="12" t="s">
        <v>112</v>
      </c>
      <c r="D14" s="12" t="s">
        <v>98</v>
      </c>
      <c r="E14" s="12" t="s">
        <v>110</v>
      </c>
      <c r="F14" s="13">
        <v>1</v>
      </c>
      <c r="G14" s="14">
        <v>410</v>
      </c>
      <c r="H14" s="14">
        <v>0</v>
      </c>
      <c r="I14" s="14">
        <v>410</v>
      </c>
      <c r="J14" s="14">
        <v>410</v>
      </c>
      <c r="K14" s="13">
        <v>1</v>
      </c>
      <c r="L14" s="13">
        <v>1</v>
      </c>
      <c r="M14" s="14"/>
      <c r="N14" s="14"/>
      <c r="O14" s="14">
        <v>6</v>
      </c>
      <c r="P14" s="15">
        <v>6.4541999999999993</v>
      </c>
      <c r="Q14" s="15">
        <v>1</v>
      </c>
      <c r="R14">
        <v>1.1620000000000001E-3</v>
      </c>
      <c r="S14" s="15">
        <v>14.021739</v>
      </c>
      <c r="T14" s="15">
        <f t="shared" si="0"/>
        <v>1.1620340243562331E-3</v>
      </c>
      <c r="U14" s="15"/>
      <c r="V14" s="13">
        <v>0</v>
      </c>
      <c r="W14" s="15">
        <v>100000</v>
      </c>
      <c r="X14" s="16"/>
      <c r="Y14" s="17">
        <v>0.79</v>
      </c>
      <c r="Z14" s="13">
        <v>2010</v>
      </c>
      <c r="AA14" s="13">
        <v>2050</v>
      </c>
      <c r="AB14" s="18">
        <v>47.491300000000003</v>
      </c>
      <c r="AC14" s="18">
        <v>12.818199999999999</v>
      </c>
      <c r="AD14" s="19" t="s">
        <v>96</v>
      </c>
      <c r="AE14" s="19" t="s">
        <v>97</v>
      </c>
    </row>
    <row r="15" spans="1:31" x14ac:dyDescent="0.25">
      <c r="A15" s="10"/>
      <c r="B15" s="11"/>
      <c r="C15" s="12" t="s">
        <v>113</v>
      </c>
      <c r="D15" s="12" t="s">
        <v>99</v>
      </c>
      <c r="E15" s="12" t="s">
        <v>110</v>
      </c>
      <c r="F15" s="13">
        <v>1</v>
      </c>
      <c r="G15" s="14">
        <v>385</v>
      </c>
      <c r="H15" s="14">
        <v>0</v>
      </c>
      <c r="I15" s="14">
        <v>385</v>
      </c>
      <c r="J15" s="14">
        <v>385</v>
      </c>
      <c r="K15" s="13">
        <v>1</v>
      </c>
      <c r="L15" s="13">
        <v>1</v>
      </c>
      <c r="M15" s="14"/>
      <c r="N15" s="14"/>
      <c r="O15" s="14">
        <v>6</v>
      </c>
      <c r="P15" s="15">
        <v>20.395271999999999</v>
      </c>
      <c r="Q15" s="15">
        <v>1</v>
      </c>
      <c r="R15">
        <v>1.1620000000000001E-3</v>
      </c>
      <c r="S15" s="15">
        <v>33.969999209999997</v>
      </c>
      <c r="T15" s="15">
        <f t="shared" si="0"/>
        <v>1.1620340243562331E-3</v>
      </c>
      <c r="U15" s="15"/>
      <c r="V15" s="13">
        <v>0</v>
      </c>
      <c r="W15" s="15">
        <v>100000</v>
      </c>
      <c r="X15" s="16"/>
      <c r="Y15" s="17">
        <v>0.34</v>
      </c>
      <c r="Z15" s="13">
        <v>2010</v>
      </c>
      <c r="AA15" s="13">
        <v>2050</v>
      </c>
      <c r="AB15" s="18">
        <v>46.77</v>
      </c>
      <c r="AC15" s="18">
        <v>13.746700000000001</v>
      </c>
      <c r="AD15" s="19" t="s">
        <v>96</v>
      </c>
      <c r="AE15" s="19" t="s">
        <v>100</v>
      </c>
    </row>
    <row r="16" spans="1:31" x14ac:dyDescent="0.25">
      <c r="A16" s="10"/>
      <c r="B16" s="11"/>
      <c r="C16" s="12" t="s">
        <v>114</v>
      </c>
      <c r="D16" s="12" t="s">
        <v>98</v>
      </c>
      <c r="E16" s="12" t="s">
        <v>115</v>
      </c>
      <c r="F16" s="13">
        <v>1</v>
      </c>
      <c r="G16" s="14">
        <v>354.4</v>
      </c>
      <c r="H16" s="14">
        <v>0</v>
      </c>
      <c r="I16" s="14">
        <v>354.4</v>
      </c>
      <c r="J16" s="14">
        <v>354.4</v>
      </c>
      <c r="K16" s="13">
        <v>1</v>
      </c>
      <c r="L16" s="13">
        <v>1</v>
      </c>
      <c r="M16" s="14"/>
      <c r="N16" s="14"/>
      <c r="O16" s="14">
        <v>6</v>
      </c>
      <c r="P16" s="15">
        <v>5.9378639999999994</v>
      </c>
      <c r="Q16" s="15">
        <v>1</v>
      </c>
      <c r="R16">
        <v>1.1620000000000001E-3</v>
      </c>
      <c r="S16" s="15">
        <v>14.834999999999999</v>
      </c>
      <c r="T16" s="15">
        <f t="shared" si="0"/>
        <v>1.1620340243562331E-3</v>
      </c>
      <c r="U16" s="15"/>
      <c r="V16" s="13">
        <v>0</v>
      </c>
      <c r="W16" s="15">
        <v>100000</v>
      </c>
      <c r="X16" s="16"/>
      <c r="Y16" s="17">
        <v>0.85</v>
      </c>
      <c r="Z16" s="13">
        <v>2010</v>
      </c>
      <c r="AA16" s="13">
        <v>2050</v>
      </c>
      <c r="AB16" s="18">
        <v>46.77</v>
      </c>
      <c r="AC16" s="18">
        <v>13.746700000000001</v>
      </c>
      <c r="AD16" s="19" t="s">
        <v>96</v>
      </c>
      <c r="AE16" s="19" t="s">
        <v>100</v>
      </c>
    </row>
    <row r="17" spans="1:31" x14ac:dyDescent="0.25">
      <c r="A17" s="10"/>
      <c r="B17" s="11"/>
      <c r="C17" s="12" t="s">
        <v>116</v>
      </c>
      <c r="D17" s="12" t="s">
        <v>99</v>
      </c>
      <c r="E17" s="12" t="s">
        <v>115</v>
      </c>
      <c r="F17" s="13">
        <v>1</v>
      </c>
      <c r="G17" s="14">
        <v>4197</v>
      </c>
      <c r="H17" s="14">
        <v>0</v>
      </c>
      <c r="I17" s="14">
        <v>4197</v>
      </c>
      <c r="J17" s="14">
        <v>4197</v>
      </c>
      <c r="K17" s="13">
        <v>1</v>
      </c>
      <c r="L17" s="13">
        <v>1</v>
      </c>
      <c r="M17" s="14"/>
      <c r="N17" s="14"/>
      <c r="O17" s="14">
        <v>6</v>
      </c>
      <c r="P17" s="15">
        <v>20.395271999999999</v>
      </c>
      <c r="Q17" s="15">
        <v>1</v>
      </c>
      <c r="R17">
        <v>1.1620000000000001E-3</v>
      </c>
      <c r="S17" s="15">
        <v>33.969999209999997</v>
      </c>
      <c r="T17" s="15">
        <f t="shared" si="0"/>
        <v>1.1620340243562331E-3</v>
      </c>
      <c r="U17" s="15"/>
      <c r="V17" s="13">
        <v>0</v>
      </c>
      <c r="W17" s="15">
        <v>100000</v>
      </c>
      <c r="X17" s="16"/>
      <c r="Y17" s="17">
        <v>0.34</v>
      </c>
      <c r="Z17" s="13">
        <v>2010</v>
      </c>
      <c r="AA17" s="13">
        <v>2050</v>
      </c>
      <c r="AB17" s="18">
        <v>46.561055000000003</v>
      </c>
      <c r="AC17" s="18">
        <v>14.479570000000001</v>
      </c>
      <c r="AD17" s="19" t="s">
        <v>96</v>
      </c>
      <c r="AE17" s="19" t="s">
        <v>97</v>
      </c>
    </row>
    <row r="18" spans="1:31" x14ac:dyDescent="0.25">
      <c r="A18" s="10"/>
      <c r="B18" s="11"/>
      <c r="C18" s="12" t="s">
        <v>117</v>
      </c>
      <c r="D18" s="12" t="s">
        <v>99</v>
      </c>
      <c r="E18" s="12" t="s">
        <v>115</v>
      </c>
      <c r="F18" s="13">
        <v>1</v>
      </c>
      <c r="G18" s="14">
        <v>244</v>
      </c>
      <c r="H18" s="14">
        <v>0</v>
      </c>
      <c r="I18" s="14">
        <v>244</v>
      </c>
      <c r="J18" s="14">
        <v>244</v>
      </c>
      <c r="K18" s="13">
        <v>1</v>
      </c>
      <c r="L18" s="13">
        <v>1</v>
      </c>
      <c r="M18" s="14"/>
      <c r="N18" s="14"/>
      <c r="O18" s="14">
        <v>6</v>
      </c>
      <c r="P18" s="15">
        <v>20.395271999999999</v>
      </c>
      <c r="Q18" s="15">
        <v>1</v>
      </c>
      <c r="R18">
        <v>1.1620000000000001E-3</v>
      </c>
      <c r="S18" s="15">
        <v>48.528570299999998</v>
      </c>
      <c r="T18" s="15">
        <f t="shared" si="0"/>
        <v>1.1620340243562331E-3</v>
      </c>
      <c r="U18" s="15"/>
      <c r="V18" s="13">
        <v>0</v>
      </c>
      <c r="W18" s="15">
        <v>100000</v>
      </c>
      <c r="X18" s="16"/>
      <c r="Y18" s="17">
        <v>0.49</v>
      </c>
      <c r="Z18" s="13">
        <v>2010</v>
      </c>
      <c r="AA18" s="13">
        <v>2050</v>
      </c>
      <c r="AB18" s="18">
        <v>47.055199999999999</v>
      </c>
      <c r="AC18" s="18">
        <v>9.9000199999999996</v>
      </c>
      <c r="AD18" s="19" t="s">
        <v>96</v>
      </c>
      <c r="AE18" s="19" t="s">
        <v>97</v>
      </c>
    </row>
    <row r="19" spans="1:31" x14ac:dyDescent="0.25">
      <c r="A19" s="10"/>
      <c r="B19" s="11"/>
      <c r="C19" s="12" t="s">
        <v>118</v>
      </c>
      <c r="D19" s="12" t="s">
        <v>119</v>
      </c>
      <c r="E19" s="12" t="s">
        <v>115</v>
      </c>
      <c r="F19" s="13">
        <v>1</v>
      </c>
      <c r="G19" s="14">
        <v>140</v>
      </c>
      <c r="H19" s="14">
        <v>0</v>
      </c>
      <c r="I19" s="14">
        <v>140</v>
      </c>
      <c r="J19" s="14">
        <v>140</v>
      </c>
      <c r="K19" s="13">
        <v>1</v>
      </c>
      <c r="L19" s="13">
        <v>1</v>
      </c>
      <c r="M19" s="14"/>
      <c r="N19" s="14"/>
      <c r="O19" s="14">
        <v>6</v>
      </c>
      <c r="P19" s="15">
        <v>33.647896000000003</v>
      </c>
      <c r="Q19" s="15">
        <v>1</v>
      </c>
      <c r="R19">
        <v>1.1620000000000001E-3</v>
      </c>
      <c r="S19" s="15">
        <v>96.074287389999995</v>
      </c>
      <c r="T19" s="15">
        <f t="shared" si="0"/>
        <v>1.1620340243562331E-3</v>
      </c>
      <c r="U19" s="15"/>
      <c r="V19" s="13">
        <v>0</v>
      </c>
      <c r="W19" s="15">
        <v>100000</v>
      </c>
      <c r="X19" s="16"/>
      <c r="Y19" s="17">
        <v>0.8</v>
      </c>
      <c r="Z19" s="13">
        <v>2010</v>
      </c>
      <c r="AA19" s="13">
        <v>2050</v>
      </c>
      <c r="AB19" s="18">
        <v>47.066462000000001</v>
      </c>
      <c r="AC19" s="18">
        <v>9.9157949999999992</v>
      </c>
      <c r="AD19" s="19" t="s">
        <v>96</v>
      </c>
      <c r="AE19" s="19" t="s">
        <v>97</v>
      </c>
    </row>
    <row r="20" spans="1:31" x14ac:dyDescent="0.25">
      <c r="A20" s="10"/>
      <c r="B20" s="11"/>
      <c r="C20" s="12" t="s">
        <v>120</v>
      </c>
      <c r="D20" s="12" t="s">
        <v>99</v>
      </c>
      <c r="E20" s="12" t="s">
        <v>115</v>
      </c>
      <c r="F20" s="13">
        <v>1</v>
      </c>
      <c r="G20" s="14">
        <v>1281.0999999999999</v>
      </c>
      <c r="H20" s="14">
        <v>0</v>
      </c>
      <c r="I20" s="14">
        <v>1281.0999999999999</v>
      </c>
      <c r="J20" s="14">
        <v>1281.0999999999999</v>
      </c>
      <c r="K20" s="13">
        <v>1</v>
      </c>
      <c r="L20" s="13">
        <v>1</v>
      </c>
      <c r="M20" s="14"/>
      <c r="N20" s="14"/>
      <c r="O20" s="14">
        <v>6</v>
      </c>
      <c r="P20" s="15">
        <v>20.395271999999999</v>
      </c>
      <c r="Q20" s="15">
        <v>1</v>
      </c>
      <c r="R20">
        <v>1.1620000000000001E-3</v>
      </c>
      <c r="S20" s="15">
        <v>35.141378819999993</v>
      </c>
      <c r="T20" s="15">
        <f t="shared" si="0"/>
        <v>1.1620340243562331E-3</v>
      </c>
      <c r="U20" s="15"/>
      <c r="V20" s="13">
        <v>0</v>
      </c>
      <c r="W20" s="15">
        <v>100000</v>
      </c>
      <c r="X20" s="16"/>
      <c r="Y20" s="17">
        <v>0.35</v>
      </c>
      <c r="Z20" s="13">
        <v>2010</v>
      </c>
      <c r="AA20" s="13">
        <v>2050</v>
      </c>
      <c r="AB20" s="18">
        <v>47.491300000000003</v>
      </c>
      <c r="AC20" s="18">
        <v>12.818199999999999</v>
      </c>
      <c r="AD20" s="19" t="s">
        <v>96</v>
      </c>
      <c r="AE20" s="19" t="s">
        <v>97</v>
      </c>
    </row>
    <row r="21" spans="1:31" x14ac:dyDescent="0.25">
      <c r="A21" s="10"/>
      <c r="B21" s="11"/>
      <c r="C21" s="12" t="s">
        <v>121</v>
      </c>
      <c r="D21" s="12" t="s">
        <v>105</v>
      </c>
      <c r="E21" s="12" t="s">
        <v>115</v>
      </c>
      <c r="F21" s="13">
        <v>1</v>
      </c>
      <c r="G21" s="14">
        <v>3390</v>
      </c>
      <c r="H21" s="14">
        <v>0</v>
      </c>
      <c r="I21" s="14">
        <v>3390</v>
      </c>
      <c r="J21" s="14">
        <v>3390</v>
      </c>
      <c r="K21" s="13">
        <v>1</v>
      </c>
      <c r="L21" s="13">
        <v>1</v>
      </c>
      <c r="M21" s="14"/>
      <c r="N21" s="14"/>
      <c r="O21" s="14">
        <v>6</v>
      </c>
      <c r="P21" s="15">
        <v>54.473447999999991</v>
      </c>
      <c r="Q21" s="15">
        <v>1</v>
      </c>
      <c r="R21">
        <v>1.1620000000000001E-3</v>
      </c>
      <c r="S21" s="15">
        <v>90.729997889999993</v>
      </c>
      <c r="T21" s="15">
        <f t="shared" si="0"/>
        <v>1.1620340243562331E-3</v>
      </c>
      <c r="U21" s="15"/>
      <c r="V21" s="13">
        <v>0</v>
      </c>
      <c r="W21" s="15">
        <v>100000</v>
      </c>
      <c r="X21" s="16"/>
      <c r="Y21" s="17">
        <v>0</v>
      </c>
      <c r="Z21" s="13">
        <v>2010</v>
      </c>
      <c r="AA21" s="13">
        <v>2050</v>
      </c>
      <c r="AB21" s="18">
        <v>46.77</v>
      </c>
      <c r="AC21" s="18">
        <v>13.746700000000001</v>
      </c>
      <c r="AD21" s="19" t="s">
        <v>96</v>
      </c>
      <c r="AE21" s="19" t="s">
        <v>97</v>
      </c>
    </row>
    <row r="22" spans="1:31" x14ac:dyDescent="0.25">
      <c r="A22" s="10"/>
      <c r="B22" s="11"/>
      <c r="C22" s="12" t="s">
        <v>122</v>
      </c>
      <c r="D22" s="12" t="s">
        <v>108</v>
      </c>
      <c r="E22" s="12" t="s">
        <v>115</v>
      </c>
      <c r="F22" s="13">
        <v>1</v>
      </c>
      <c r="G22" s="14">
        <v>1594</v>
      </c>
      <c r="H22" s="14">
        <v>0</v>
      </c>
      <c r="I22" s="14">
        <v>1594</v>
      </c>
      <c r="J22" s="14">
        <v>1594</v>
      </c>
      <c r="K22" s="13">
        <v>1</v>
      </c>
      <c r="L22" s="13">
        <v>1</v>
      </c>
      <c r="M22" s="14"/>
      <c r="N22" s="14"/>
      <c r="O22" s="14">
        <v>6</v>
      </c>
      <c r="P22" s="15">
        <v>64.972279999999998</v>
      </c>
      <c r="Q22" s="15">
        <v>1</v>
      </c>
      <c r="R22">
        <v>1.1620000000000001E-3</v>
      </c>
      <c r="S22" s="15">
        <v>158.36585550000001</v>
      </c>
      <c r="T22" s="15">
        <f t="shared" si="0"/>
        <v>1.1620340243562331E-3</v>
      </c>
      <c r="U22" s="15"/>
      <c r="V22" s="13">
        <v>0</v>
      </c>
      <c r="W22" s="15">
        <v>100000</v>
      </c>
      <c r="X22" s="16"/>
      <c r="Y22" s="17">
        <v>0.5</v>
      </c>
      <c r="Z22" s="13">
        <v>2010</v>
      </c>
      <c r="AA22" s="13">
        <v>2050</v>
      </c>
      <c r="AB22" s="18">
        <v>46.77</v>
      </c>
      <c r="AC22" s="18">
        <v>13.746700000000001</v>
      </c>
      <c r="AD22" s="19" t="s">
        <v>96</v>
      </c>
      <c r="AE22" s="19" t="s">
        <v>97</v>
      </c>
    </row>
    <row r="23" spans="1:31" x14ac:dyDescent="0.25">
      <c r="A23" s="10"/>
      <c r="B23" s="11"/>
      <c r="C23" s="12" t="s">
        <v>123</v>
      </c>
      <c r="D23" s="12" t="s">
        <v>95</v>
      </c>
      <c r="E23" s="12" t="s">
        <v>124</v>
      </c>
      <c r="F23" s="13">
        <v>1</v>
      </c>
      <c r="G23" s="14">
        <v>4000</v>
      </c>
      <c r="H23" s="14">
        <v>0</v>
      </c>
      <c r="I23" s="14">
        <v>4000</v>
      </c>
      <c r="J23" s="14">
        <v>4000</v>
      </c>
      <c r="K23" s="13">
        <v>1</v>
      </c>
      <c r="L23" s="13">
        <v>1</v>
      </c>
      <c r="M23" s="14"/>
      <c r="N23" s="14"/>
      <c r="O23" s="14">
        <v>6</v>
      </c>
      <c r="P23" s="15">
        <v>6.0239199999999995</v>
      </c>
      <c r="Q23" s="15">
        <v>1</v>
      </c>
      <c r="R23">
        <v>1.1620000000000001E-3</v>
      </c>
      <c r="S23" s="15">
        <v>18.242424199999999</v>
      </c>
      <c r="T23" s="15">
        <f t="shared" si="0"/>
        <v>1.1620340243562331E-3</v>
      </c>
      <c r="U23" s="15"/>
      <c r="V23" s="13">
        <v>0</v>
      </c>
      <c r="W23" s="15">
        <v>100000</v>
      </c>
      <c r="X23" s="16"/>
      <c r="Y23" s="17">
        <v>0</v>
      </c>
      <c r="Z23" s="13">
        <v>2010</v>
      </c>
      <c r="AA23" s="13">
        <v>2050</v>
      </c>
      <c r="AB23" s="18">
        <v>46.561055000000003</v>
      </c>
      <c r="AC23" s="18">
        <v>14.479570000000001</v>
      </c>
      <c r="AD23" s="19" t="s">
        <v>96</v>
      </c>
      <c r="AE23" s="19" t="s">
        <v>97</v>
      </c>
    </row>
    <row r="24" spans="1:31" x14ac:dyDescent="0.25">
      <c r="A24" s="10"/>
      <c r="B24" s="11"/>
      <c r="C24" s="12" t="s">
        <v>125</v>
      </c>
      <c r="D24" s="12" t="s">
        <v>98</v>
      </c>
      <c r="E24" s="12" t="s">
        <v>124</v>
      </c>
      <c r="F24" s="13">
        <v>1</v>
      </c>
      <c r="G24" s="14">
        <v>804</v>
      </c>
      <c r="H24" s="14">
        <v>0</v>
      </c>
      <c r="I24" s="14">
        <v>804</v>
      </c>
      <c r="J24" s="14">
        <v>804</v>
      </c>
      <c r="K24" s="13">
        <v>1</v>
      </c>
      <c r="L24" s="13">
        <v>1</v>
      </c>
      <c r="M24" s="14"/>
      <c r="N24" s="14"/>
      <c r="O24" s="14">
        <v>6</v>
      </c>
      <c r="P24" s="15">
        <v>5.0773039999999998</v>
      </c>
      <c r="Q24" s="15">
        <v>1</v>
      </c>
      <c r="R24">
        <v>1.1620000000000001E-3</v>
      </c>
      <c r="S24" s="15">
        <v>14.497143109999998</v>
      </c>
      <c r="T24" s="15">
        <f t="shared" si="0"/>
        <v>1.1620340243562331E-3</v>
      </c>
      <c r="U24" s="15"/>
      <c r="V24" s="13">
        <v>0</v>
      </c>
      <c r="W24" s="15">
        <v>100000</v>
      </c>
      <c r="X24" s="16"/>
      <c r="Y24" s="17">
        <v>1.04</v>
      </c>
      <c r="Z24" s="13">
        <v>2010</v>
      </c>
      <c r="AA24" s="13">
        <v>2050</v>
      </c>
      <c r="AB24" s="18">
        <v>47.055199999999999</v>
      </c>
      <c r="AC24" s="18">
        <v>9.9000199999999996</v>
      </c>
      <c r="AD24" s="19" t="s">
        <v>96</v>
      </c>
      <c r="AE24" s="19" t="s">
        <v>97</v>
      </c>
    </row>
    <row r="25" spans="1:31" x14ac:dyDescent="0.25">
      <c r="A25" s="10"/>
      <c r="B25" s="11"/>
      <c r="C25" s="12" t="s">
        <v>126</v>
      </c>
      <c r="D25" s="12" t="s">
        <v>98</v>
      </c>
      <c r="E25" s="12" t="s">
        <v>124</v>
      </c>
      <c r="F25" s="13">
        <v>1</v>
      </c>
      <c r="G25" s="14">
        <v>600</v>
      </c>
      <c r="H25" s="14">
        <v>0</v>
      </c>
      <c r="I25" s="14">
        <v>600</v>
      </c>
      <c r="J25" s="14">
        <v>600</v>
      </c>
      <c r="K25" s="13">
        <v>1</v>
      </c>
      <c r="L25" s="13">
        <v>1</v>
      </c>
      <c r="M25" s="14"/>
      <c r="N25" s="14"/>
      <c r="O25" s="14">
        <v>6</v>
      </c>
      <c r="P25" s="15">
        <v>5.0773039999999998</v>
      </c>
      <c r="Q25" s="15">
        <v>1</v>
      </c>
      <c r="R25">
        <v>1.1620000000000001E-3</v>
      </c>
      <c r="S25" s="15">
        <v>12.685</v>
      </c>
      <c r="T25" s="15">
        <f t="shared" si="0"/>
        <v>1.1620340243562331E-3</v>
      </c>
      <c r="U25" s="15"/>
      <c r="V25" s="13">
        <v>0</v>
      </c>
      <c r="W25" s="15">
        <v>100000</v>
      </c>
      <c r="X25" s="16"/>
      <c r="Y25" s="17">
        <v>0.91</v>
      </c>
      <c r="Z25" s="13">
        <v>2010</v>
      </c>
      <c r="AA25" s="13">
        <v>2050</v>
      </c>
      <c r="AB25" s="18">
        <v>47.066462000000001</v>
      </c>
      <c r="AC25" s="18">
        <v>9.9157949999999992</v>
      </c>
      <c r="AD25" s="19" t="s">
        <v>96</v>
      </c>
      <c r="AE25" s="19" t="s">
        <v>100</v>
      </c>
    </row>
    <row r="26" spans="1:31" x14ac:dyDescent="0.25">
      <c r="A26" s="10"/>
      <c r="B26" s="11"/>
      <c r="C26" s="12" t="s">
        <v>127</v>
      </c>
      <c r="D26" s="12" t="s">
        <v>99</v>
      </c>
      <c r="E26" s="12" t="s">
        <v>124</v>
      </c>
      <c r="F26" s="13">
        <v>1</v>
      </c>
      <c r="G26" s="14">
        <v>1056</v>
      </c>
      <c r="H26" s="14">
        <v>0</v>
      </c>
      <c r="I26" s="14">
        <v>1056</v>
      </c>
      <c r="J26" s="14">
        <v>1056</v>
      </c>
      <c r="K26" s="13">
        <v>1</v>
      </c>
      <c r="L26" s="13">
        <v>1</v>
      </c>
      <c r="M26" s="14"/>
      <c r="N26" s="14"/>
      <c r="O26" s="14">
        <v>6</v>
      </c>
      <c r="P26" s="15">
        <v>20.395271999999999</v>
      </c>
      <c r="Q26" s="15">
        <v>1</v>
      </c>
      <c r="R26">
        <v>1.1620000000000001E-3</v>
      </c>
      <c r="S26" s="15">
        <v>56.616666929999994</v>
      </c>
      <c r="T26" s="15">
        <f t="shared" si="0"/>
        <v>1.1620340243562331E-3</v>
      </c>
      <c r="U26" s="15"/>
      <c r="V26" s="13">
        <v>0</v>
      </c>
      <c r="W26" s="15">
        <v>100000</v>
      </c>
      <c r="X26" s="16"/>
      <c r="Y26" s="17">
        <v>0.56999999999999995</v>
      </c>
      <c r="Z26" s="13">
        <v>2010</v>
      </c>
      <c r="AA26" s="13">
        <v>2050</v>
      </c>
      <c r="AB26" s="18">
        <v>47.491300000000003</v>
      </c>
      <c r="AC26" s="18">
        <v>12.818199999999999</v>
      </c>
      <c r="AD26" s="19" t="s">
        <v>96</v>
      </c>
      <c r="AE26" s="19" t="s">
        <v>100</v>
      </c>
    </row>
    <row r="27" spans="1:31" x14ac:dyDescent="0.25">
      <c r="A27" s="10"/>
      <c r="B27" s="11"/>
      <c r="C27" s="12" t="s">
        <v>128</v>
      </c>
      <c r="D27" s="12" t="s">
        <v>99</v>
      </c>
      <c r="E27" s="12" t="s">
        <v>124</v>
      </c>
      <c r="F27" s="13">
        <v>1</v>
      </c>
      <c r="G27" s="14">
        <v>1064</v>
      </c>
      <c r="H27" s="14">
        <v>0</v>
      </c>
      <c r="I27" s="14">
        <v>1064</v>
      </c>
      <c r="J27" s="14">
        <v>1064</v>
      </c>
      <c r="K27" s="13">
        <v>1</v>
      </c>
      <c r="L27" s="13">
        <v>1</v>
      </c>
      <c r="M27" s="14"/>
      <c r="N27" s="14"/>
      <c r="O27" s="14">
        <v>6</v>
      </c>
      <c r="P27" s="15">
        <v>20.395271999999999</v>
      </c>
      <c r="Q27" s="15">
        <v>1</v>
      </c>
      <c r="R27">
        <v>1.1620000000000001E-3</v>
      </c>
      <c r="S27" s="15">
        <v>33.969999209999997</v>
      </c>
      <c r="T27" s="15">
        <f t="shared" si="0"/>
        <v>1.1620340243562331E-3</v>
      </c>
      <c r="U27" s="15"/>
      <c r="V27" s="13">
        <v>0</v>
      </c>
      <c r="W27" s="15">
        <v>100000</v>
      </c>
      <c r="X27" s="16"/>
      <c r="Y27" s="17">
        <v>0.34</v>
      </c>
      <c r="Z27" s="13">
        <v>2010</v>
      </c>
      <c r="AA27" s="13">
        <v>2050</v>
      </c>
      <c r="AB27" s="18">
        <v>46.77</v>
      </c>
      <c r="AC27" s="18">
        <v>13.746700000000001</v>
      </c>
      <c r="AD27" s="19" t="s">
        <v>96</v>
      </c>
      <c r="AE27" s="19" t="s">
        <v>97</v>
      </c>
    </row>
    <row r="28" spans="1:31" x14ac:dyDescent="0.25">
      <c r="C28" t="s">
        <v>129</v>
      </c>
      <c r="D28" t="s">
        <v>99</v>
      </c>
      <c r="E28" t="s">
        <v>124</v>
      </c>
      <c r="F28">
        <v>1</v>
      </c>
      <c r="G28">
        <v>20</v>
      </c>
      <c r="H28">
        <v>0</v>
      </c>
      <c r="I28">
        <v>20</v>
      </c>
      <c r="J28">
        <v>20</v>
      </c>
      <c r="K28" s="13">
        <v>1</v>
      </c>
      <c r="L28" s="13">
        <v>1</v>
      </c>
      <c r="O28" s="14">
        <v>6</v>
      </c>
      <c r="P28">
        <v>20.395271999999999</v>
      </c>
      <c r="Q28">
        <v>1</v>
      </c>
      <c r="R28">
        <v>1.1620000000000001E-3</v>
      </c>
      <c r="S28">
        <v>48.528570299999998</v>
      </c>
      <c r="T28" s="15">
        <f t="shared" si="0"/>
        <v>1.1620340243562331E-3</v>
      </c>
      <c r="V28" s="13">
        <v>0</v>
      </c>
      <c r="W28" s="15">
        <v>100000</v>
      </c>
      <c r="Y28">
        <v>0.49</v>
      </c>
    </row>
    <row r="29" spans="1:31" x14ac:dyDescent="0.25">
      <c r="C29" t="s">
        <v>130</v>
      </c>
      <c r="D29" t="s">
        <v>99</v>
      </c>
      <c r="E29" t="s">
        <v>124</v>
      </c>
      <c r="F29">
        <v>1</v>
      </c>
      <c r="G29">
        <v>97</v>
      </c>
      <c r="H29">
        <v>0</v>
      </c>
      <c r="I29">
        <v>97</v>
      </c>
      <c r="J29">
        <v>97</v>
      </c>
      <c r="K29" s="13">
        <v>1</v>
      </c>
      <c r="L29" s="13">
        <v>1</v>
      </c>
      <c r="O29" s="14">
        <v>6</v>
      </c>
      <c r="P29">
        <v>20.395271999999999</v>
      </c>
      <c r="Q29">
        <v>1</v>
      </c>
      <c r="R29">
        <v>1.1620000000000001E-3</v>
      </c>
      <c r="S29">
        <v>35.141378819999993</v>
      </c>
      <c r="T29" s="15">
        <f t="shared" si="0"/>
        <v>1.1620340243562331E-3</v>
      </c>
      <c r="V29" s="13">
        <v>0</v>
      </c>
      <c r="W29" s="15">
        <v>100000</v>
      </c>
      <c r="Y29">
        <v>0.35</v>
      </c>
    </row>
    <row r="30" spans="1:31" x14ac:dyDescent="0.25">
      <c r="C30" t="s">
        <v>131</v>
      </c>
      <c r="D30" t="s">
        <v>108</v>
      </c>
      <c r="E30" t="s">
        <v>132</v>
      </c>
      <c r="F30">
        <v>1</v>
      </c>
      <c r="G30">
        <v>440.4</v>
      </c>
      <c r="H30">
        <v>0</v>
      </c>
      <c r="I30">
        <v>440.4</v>
      </c>
      <c r="J30">
        <v>440.4</v>
      </c>
      <c r="K30" s="13">
        <v>1</v>
      </c>
      <c r="L30" s="13">
        <v>1</v>
      </c>
      <c r="O30" s="14">
        <v>6</v>
      </c>
      <c r="P30">
        <v>64.972279999999998</v>
      </c>
      <c r="Q30">
        <v>1</v>
      </c>
      <c r="R30">
        <v>1.1620000000000001E-3</v>
      </c>
      <c r="S30">
        <v>180.36111194999998</v>
      </c>
      <c r="T30" s="15">
        <f t="shared" si="0"/>
        <v>1.1620340243562331E-3</v>
      </c>
      <c r="V30" s="13">
        <v>0</v>
      </c>
      <c r="W30" s="15">
        <v>100000</v>
      </c>
      <c r="Y30">
        <v>0.56999999999999995</v>
      </c>
    </row>
    <row r="31" spans="1:31" x14ac:dyDescent="0.25">
      <c r="C31" t="s">
        <v>133</v>
      </c>
      <c r="D31" t="s">
        <v>99</v>
      </c>
      <c r="E31" t="s">
        <v>134</v>
      </c>
      <c r="F31">
        <v>1</v>
      </c>
      <c r="G31">
        <v>97.6</v>
      </c>
      <c r="H31">
        <v>0</v>
      </c>
      <c r="I31">
        <v>97.6</v>
      </c>
      <c r="J31">
        <v>97.6</v>
      </c>
      <c r="K31" s="13">
        <v>1</v>
      </c>
      <c r="L31" s="13">
        <v>1</v>
      </c>
      <c r="M31" s="20"/>
      <c r="N31" s="20"/>
      <c r="O31" s="14">
        <v>6</v>
      </c>
      <c r="P31">
        <v>20.395271999999999</v>
      </c>
      <c r="Q31">
        <v>1</v>
      </c>
      <c r="R31">
        <v>1.1620000000000001E-3</v>
      </c>
      <c r="S31">
        <v>49.712195700000002</v>
      </c>
      <c r="T31" s="15">
        <f t="shared" si="0"/>
        <v>1.1620340243562331E-3</v>
      </c>
      <c r="V31" s="13">
        <v>0</v>
      </c>
      <c r="W31" s="15">
        <v>100000</v>
      </c>
      <c r="Y31">
        <v>0.5</v>
      </c>
    </row>
    <row r="32" spans="1:31" x14ac:dyDescent="0.25">
      <c r="C32" t="s">
        <v>135</v>
      </c>
      <c r="D32" t="s">
        <v>99</v>
      </c>
      <c r="E32" t="s">
        <v>134</v>
      </c>
      <c r="F32">
        <v>1</v>
      </c>
      <c r="G32">
        <v>425.7</v>
      </c>
      <c r="H32">
        <v>0</v>
      </c>
      <c r="I32">
        <v>425.7</v>
      </c>
      <c r="J32">
        <v>425.7</v>
      </c>
      <c r="K32" s="13">
        <v>1</v>
      </c>
      <c r="L32" s="13">
        <v>1</v>
      </c>
      <c r="M32" s="20"/>
      <c r="N32" s="20"/>
      <c r="O32" s="14">
        <v>6</v>
      </c>
      <c r="P32">
        <v>20.395271999999999</v>
      </c>
      <c r="Q32">
        <v>1</v>
      </c>
      <c r="R32">
        <v>1.1620000000000001E-3</v>
      </c>
      <c r="S32">
        <v>33.969999209999997</v>
      </c>
      <c r="T32" s="15">
        <f t="shared" si="0"/>
        <v>1.1620340243562331E-3</v>
      </c>
      <c r="V32" s="13">
        <v>0</v>
      </c>
      <c r="W32" s="15">
        <v>100000</v>
      </c>
      <c r="Y32">
        <v>0.34</v>
      </c>
    </row>
    <row r="33" spans="3:25" x14ac:dyDescent="0.25">
      <c r="C33" t="s">
        <v>136</v>
      </c>
      <c r="D33" t="s">
        <v>95</v>
      </c>
      <c r="E33" t="s">
        <v>137</v>
      </c>
      <c r="F33">
        <v>1</v>
      </c>
      <c r="G33">
        <v>5187.2</v>
      </c>
      <c r="H33">
        <v>0</v>
      </c>
      <c r="I33">
        <v>5187.2</v>
      </c>
      <c r="J33">
        <v>5187.2</v>
      </c>
      <c r="K33" s="13">
        <v>1</v>
      </c>
      <c r="L33" s="13">
        <v>1</v>
      </c>
      <c r="M33" s="20"/>
      <c r="N33" s="20"/>
      <c r="O33" s="14">
        <v>6</v>
      </c>
      <c r="P33">
        <v>6.0239199999999995</v>
      </c>
      <c r="Q33">
        <v>1</v>
      </c>
      <c r="R33">
        <v>1.1620000000000001E-3</v>
      </c>
      <c r="S33">
        <v>18.242424199999999</v>
      </c>
      <c r="T33" s="15">
        <f t="shared" si="0"/>
        <v>1.1620340243562331E-3</v>
      </c>
      <c r="V33" s="13">
        <v>0</v>
      </c>
      <c r="W33" s="15">
        <v>100000</v>
      </c>
      <c r="Y33">
        <v>0</v>
      </c>
    </row>
    <row r="34" spans="3:25" x14ac:dyDescent="0.25">
      <c r="C34" t="s">
        <v>138</v>
      </c>
      <c r="D34" t="s">
        <v>99</v>
      </c>
      <c r="E34" t="s">
        <v>137</v>
      </c>
      <c r="F34">
        <v>1</v>
      </c>
      <c r="G34">
        <v>260</v>
      </c>
      <c r="H34">
        <v>0</v>
      </c>
      <c r="I34">
        <v>260</v>
      </c>
      <c r="J34">
        <v>260</v>
      </c>
      <c r="K34" s="13">
        <v>1</v>
      </c>
      <c r="L34" s="13">
        <v>1</v>
      </c>
      <c r="M34" s="20"/>
      <c r="N34" s="20"/>
      <c r="O34" s="14">
        <v>6</v>
      </c>
      <c r="P34">
        <v>20.395271999999999</v>
      </c>
      <c r="Q34">
        <v>1</v>
      </c>
      <c r="R34">
        <v>1.1620000000000001E-3</v>
      </c>
      <c r="S34">
        <v>42.46250079</v>
      </c>
      <c r="T34" s="15">
        <f t="shared" si="0"/>
        <v>1.1620340243562331E-3</v>
      </c>
      <c r="V34" s="13">
        <v>0</v>
      </c>
      <c r="W34" s="15">
        <v>100000</v>
      </c>
      <c r="Y34">
        <v>0.43</v>
      </c>
    </row>
    <row r="35" spans="3:25" x14ac:dyDescent="0.25">
      <c r="C35" t="s">
        <v>139</v>
      </c>
      <c r="D35" t="s">
        <v>99</v>
      </c>
      <c r="E35" t="s">
        <v>137</v>
      </c>
      <c r="F35">
        <v>1</v>
      </c>
      <c r="G35">
        <v>1377.5</v>
      </c>
      <c r="H35">
        <v>0</v>
      </c>
      <c r="I35">
        <v>1377.5</v>
      </c>
      <c r="J35">
        <v>1377.5</v>
      </c>
      <c r="K35" s="13">
        <v>1</v>
      </c>
      <c r="L35" s="13">
        <v>1</v>
      </c>
      <c r="M35" s="20"/>
      <c r="N35" s="20"/>
      <c r="O35" s="14">
        <v>6</v>
      </c>
      <c r="P35">
        <v>20.395271999999999</v>
      </c>
      <c r="Q35" s="20">
        <v>1</v>
      </c>
      <c r="R35">
        <v>1.1620000000000001E-3</v>
      </c>
      <c r="S35">
        <v>33.969999209999997</v>
      </c>
      <c r="T35" s="15">
        <f t="shared" si="0"/>
        <v>1.1620340243562331E-3</v>
      </c>
      <c r="V35" s="13">
        <v>0</v>
      </c>
      <c r="W35" s="15">
        <v>100000</v>
      </c>
      <c r="Y35">
        <v>0.34</v>
      </c>
    </row>
    <row r="36" spans="3:25" x14ac:dyDescent="0.25">
      <c r="C36" t="s">
        <v>140</v>
      </c>
      <c r="D36" t="s">
        <v>99</v>
      </c>
      <c r="E36" t="s">
        <v>137</v>
      </c>
      <c r="F36">
        <v>1</v>
      </c>
      <c r="G36">
        <v>131.1</v>
      </c>
      <c r="H36">
        <v>0</v>
      </c>
      <c r="I36">
        <v>131.1</v>
      </c>
      <c r="J36">
        <v>131.1</v>
      </c>
      <c r="K36" s="13">
        <v>1</v>
      </c>
      <c r="L36" s="13">
        <v>1</v>
      </c>
      <c r="M36" s="20"/>
      <c r="N36" s="20"/>
      <c r="O36" s="14">
        <v>6</v>
      </c>
      <c r="P36">
        <v>20.395271999999999</v>
      </c>
      <c r="Q36" s="20">
        <v>1</v>
      </c>
      <c r="R36">
        <v>1.1620000000000001E-3</v>
      </c>
      <c r="S36">
        <v>48.528570299999998</v>
      </c>
      <c r="T36" s="15">
        <f t="shared" si="0"/>
        <v>1.1620340243562331E-3</v>
      </c>
      <c r="V36" s="13">
        <v>0</v>
      </c>
      <c r="W36" s="15">
        <v>100000</v>
      </c>
      <c r="Y36">
        <v>0.49</v>
      </c>
    </row>
    <row r="37" spans="3:25" x14ac:dyDescent="0.25">
      <c r="C37" t="s">
        <v>141</v>
      </c>
      <c r="D37" t="s">
        <v>99</v>
      </c>
      <c r="E37" t="s">
        <v>137</v>
      </c>
      <c r="F37">
        <v>1</v>
      </c>
      <c r="G37">
        <v>834</v>
      </c>
      <c r="H37">
        <v>0</v>
      </c>
      <c r="I37">
        <v>834</v>
      </c>
      <c r="J37">
        <v>834</v>
      </c>
      <c r="K37" s="13">
        <v>1</v>
      </c>
      <c r="L37" s="13">
        <v>1</v>
      </c>
      <c r="M37" s="20"/>
      <c r="N37" s="20"/>
      <c r="O37" s="14">
        <v>6</v>
      </c>
      <c r="P37">
        <v>20.395271999999999</v>
      </c>
      <c r="Q37" s="20">
        <v>1</v>
      </c>
      <c r="R37">
        <v>1.1620000000000001E-3</v>
      </c>
      <c r="S37">
        <v>36.396428909999997</v>
      </c>
      <c r="T37" s="15">
        <f t="shared" si="0"/>
        <v>1.1620340243562331E-3</v>
      </c>
      <c r="V37" s="13">
        <v>0</v>
      </c>
      <c r="W37" s="15">
        <v>100000</v>
      </c>
      <c r="Y37">
        <v>0.37</v>
      </c>
    </row>
    <row r="38" spans="3:25" x14ac:dyDescent="0.25">
      <c r="C38" t="s">
        <v>142</v>
      </c>
      <c r="D38" t="s">
        <v>99</v>
      </c>
      <c r="E38" t="s">
        <v>137</v>
      </c>
      <c r="F38">
        <v>1</v>
      </c>
      <c r="G38">
        <v>55.1</v>
      </c>
      <c r="H38">
        <v>0</v>
      </c>
      <c r="I38">
        <v>55.1</v>
      </c>
      <c r="J38">
        <v>55.1</v>
      </c>
      <c r="K38" s="13">
        <v>1</v>
      </c>
      <c r="L38" s="13">
        <v>1</v>
      </c>
      <c r="M38" s="20"/>
      <c r="N38" s="20"/>
      <c r="O38" s="14">
        <v>6</v>
      </c>
      <c r="P38">
        <v>20.395271999999999</v>
      </c>
      <c r="Q38" s="20">
        <v>1</v>
      </c>
      <c r="R38">
        <v>1.1620000000000001E-3</v>
      </c>
      <c r="S38">
        <v>35.141378819999993</v>
      </c>
      <c r="T38" s="15">
        <f t="shared" si="0"/>
        <v>1.1620340243562331E-3</v>
      </c>
      <c r="V38" s="13">
        <v>0</v>
      </c>
      <c r="W38" s="15">
        <v>100000</v>
      </c>
      <c r="Y38">
        <v>0.35</v>
      </c>
    </row>
    <row r="39" spans="3:25" x14ac:dyDescent="0.25">
      <c r="C39" t="s">
        <v>143</v>
      </c>
      <c r="D39" t="s">
        <v>105</v>
      </c>
      <c r="E39" t="s">
        <v>137</v>
      </c>
      <c r="F39">
        <v>1</v>
      </c>
      <c r="G39">
        <v>28.6</v>
      </c>
      <c r="H39">
        <v>0</v>
      </c>
      <c r="I39">
        <v>28.6</v>
      </c>
      <c r="J39">
        <v>28.6</v>
      </c>
      <c r="K39" s="13">
        <v>1</v>
      </c>
      <c r="L39" s="13">
        <v>1</v>
      </c>
      <c r="M39" s="20"/>
      <c r="N39" s="20"/>
      <c r="O39" s="14">
        <v>6</v>
      </c>
      <c r="P39">
        <v>54.473447999999991</v>
      </c>
      <c r="Q39" s="20">
        <v>1</v>
      </c>
      <c r="R39">
        <v>1.1620000000000001E-3</v>
      </c>
      <c r="S39">
        <v>83.750767769999996</v>
      </c>
      <c r="T39" s="15">
        <f t="shared" si="0"/>
        <v>1.1620340243562331E-3</v>
      </c>
      <c r="V39" s="13">
        <v>0</v>
      </c>
      <c r="W39" s="15">
        <v>100000</v>
      </c>
      <c r="Y39">
        <v>0</v>
      </c>
    </row>
    <row r="40" spans="3:25" x14ac:dyDescent="0.25">
      <c r="C40" t="s">
        <v>144</v>
      </c>
      <c r="D40" t="s">
        <v>108</v>
      </c>
      <c r="E40" t="s">
        <v>137</v>
      </c>
      <c r="F40">
        <v>1</v>
      </c>
      <c r="G40">
        <v>995.7</v>
      </c>
      <c r="H40">
        <v>0</v>
      </c>
      <c r="I40">
        <v>995.7</v>
      </c>
      <c r="J40">
        <v>995.7</v>
      </c>
      <c r="K40" s="13">
        <v>1</v>
      </c>
      <c r="L40" s="13">
        <v>1</v>
      </c>
      <c r="M40" s="20"/>
      <c r="N40" s="20"/>
      <c r="O40" s="14">
        <v>6</v>
      </c>
      <c r="P40">
        <v>64.972279999999998</v>
      </c>
      <c r="Q40" s="20">
        <v>1</v>
      </c>
      <c r="R40">
        <v>1.1620000000000001E-3</v>
      </c>
      <c r="S40">
        <v>180.36111194999998</v>
      </c>
      <c r="T40" s="15">
        <f t="shared" si="0"/>
        <v>1.1620340243562331E-3</v>
      </c>
      <c r="V40" s="13">
        <v>0</v>
      </c>
      <c r="W40" s="15">
        <v>100000</v>
      </c>
      <c r="Y40">
        <v>0.56999999999999995</v>
      </c>
    </row>
    <row r="41" spans="3:25" x14ac:dyDescent="0.25">
      <c r="C41" t="s">
        <v>145</v>
      </c>
      <c r="D41" t="s">
        <v>99</v>
      </c>
      <c r="E41" t="s">
        <v>146</v>
      </c>
      <c r="F41">
        <v>1</v>
      </c>
      <c r="G41">
        <v>318.7</v>
      </c>
      <c r="H41">
        <v>0</v>
      </c>
      <c r="I41">
        <v>318.7</v>
      </c>
      <c r="J41">
        <v>318.7</v>
      </c>
      <c r="K41" s="13">
        <v>1</v>
      </c>
      <c r="L41" s="13">
        <v>1</v>
      </c>
      <c r="M41" s="20"/>
      <c r="N41" s="20"/>
      <c r="O41" s="14">
        <v>6</v>
      </c>
      <c r="P41">
        <v>20.395271999999999</v>
      </c>
      <c r="Q41" s="20">
        <v>1</v>
      </c>
      <c r="R41">
        <v>1.1620000000000001E-3</v>
      </c>
      <c r="S41">
        <v>49.712195700000002</v>
      </c>
      <c r="T41" s="15">
        <f t="shared" si="0"/>
        <v>1.1620340243562331E-3</v>
      </c>
      <c r="V41" s="13">
        <v>0</v>
      </c>
      <c r="W41" s="15">
        <v>100000</v>
      </c>
      <c r="Y41">
        <v>0.5</v>
      </c>
    </row>
    <row r="42" spans="3:25" x14ac:dyDescent="0.25">
      <c r="C42" t="s">
        <v>147</v>
      </c>
      <c r="D42" t="s">
        <v>99</v>
      </c>
      <c r="E42" t="s">
        <v>146</v>
      </c>
      <c r="F42">
        <v>1</v>
      </c>
      <c r="G42">
        <v>39.6</v>
      </c>
      <c r="H42">
        <v>0</v>
      </c>
      <c r="I42">
        <v>39.6</v>
      </c>
      <c r="J42">
        <v>39.6</v>
      </c>
      <c r="K42" s="13">
        <v>1</v>
      </c>
      <c r="L42" s="13">
        <v>1</v>
      </c>
      <c r="M42" s="20"/>
      <c r="N42" s="20"/>
      <c r="O42" s="14">
        <v>6</v>
      </c>
      <c r="P42">
        <v>20.395271999999999</v>
      </c>
      <c r="Q42" s="20">
        <v>1</v>
      </c>
      <c r="R42">
        <v>1.1620000000000001E-3</v>
      </c>
      <c r="S42">
        <v>42.46250079</v>
      </c>
      <c r="T42" s="15">
        <f t="shared" si="0"/>
        <v>1.1620340243562331E-3</v>
      </c>
      <c r="V42" s="13">
        <v>0</v>
      </c>
      <c r="W42" s="15">
        <v>100000</v>
      </c>
      <c r="Y42">
        <v>0.43</v>
      </c>
    </row>
    <row r="43" spans="3:25" x14ac:dyDescent="0.25">
      <c r="C43" t="s">
        <v>148</v>
      </c>
      <c r="D43" t="s">
        <v>99</v>
      </c>
      <c r="E43" t="s">
        <v>146</v>
      </c>
      <c r="F43">
        <v>1</v>
      </c>
      <c r="G43">
        <v>857.2</v>
      </c>
      <c r="H43">
        <v>0</v>
      </c>
      <c r="I43">
        <v>857.2</v>
      </c>
      <c r="J43">
        <v>857.2</v>
      </c>
      <c r="K43" s="13">
        <v>1</v>
      </c>
      <c r="L43" s="13">
        <v>1</v>
      </c>
      <c r="M43" s="20"/>
      <c r="N43" s="20"/>
      <c r="O43" s="14">
        <v>6</v>
      </c>
      <c r="P43">
        <v>20.395271999999999</v>
      </c>
      <c r="Q43" s="20">
        <v>1</v>
      </c>
      <c r="R43">
        <v>1.1620000000000001E-3</v>
      </c>
      <c r="S43">
        <v>33.969999209999997</v>
      </c>
      <c r="T43" s="15">
        <f t="shared" si="0"/>
        <v>1.1620340243562331E-3</v>
      </c>
      <c r="V43" s="13">
        <v>0</v>
      </c>
      <c r="W43" s="15">
        <v>100000</v>
      </c>
      <c r="Y43">
        <v>0.34</v>
      </c>
    </row>
    <row r="44" spans="3:25" x14ac:dyDescent="0.25">
      <c r="C44" t="s">
        <v>149</v>
      </c>
      <c r="D44" t="s">
        <v>99</v>
      </c>
      <c r="E44" t="s">
        <v>146</v>
      </c>
      <c r="F44">
        <v>1</v>
      </c>
      <c r="G44">
        <v>669.9</v>
      </c>
      <c r="H44">
        <v>0</v>
      </c>
      <c r="I44">
        <v>669.9</v>
      </c>
      <c r="J44">
        <v>669.9</v>
      </c>
      <c r="K44" s="13">
        <v>1</v>
      </c>
      <c r="L44" s="13">
        <v>1</v>
      </c>
      <c r="M44" s="20"/>
      <c r="N44" s="20"/>
      <c r="O44" s="14">
        <v>6</v>
      </c>
      <c r="P44">
        <v>20.395271999999999</v>
      </c>
      <c r="Q44" s="20">
        <v>1</v>
      </c>
      <c r="R44">
        <v>1.1620000000000001E-3</v>
      </c>
      <c r="S44">
        <v>48.528570299999998</v>
      </c>
      <c r="T44" s="15">
        <f t="shared" si="0"/>
        <v>1.1620340243562331E-3</v>
      </c>
      <c r="V44" s="13">
        <v>0</v>
      </c>
      <c r="W44" s="15">
        <v>100000</v>
      </c>
      <c r="Y44">
        <v>0.49</v>
      </c>
    </row>
    <row r="45" spans="3:25" x14ac:dyDescent="0.25">
      <c r="C45" t="s">
        <v>150</v>
      </c>
      <c r="D45" t="s">
        <v>99</v>
      </c>
      <c r="E45" t="s">
        <v>146</v>
      </c>
      <c r="F45">
        <v>1</v>
      </c>
      <c r="G45">
        <v>265.5</v>
      </c>
      <c r="H45">
        <v>0</v>
      </c>
      <c r="I45">
        <v>265.5</v>
      </c>
      <c r="J45">
        <v>265.5</v>
      </c>
      <c r="K45" s="13">
        <v>1</v>
      </c>
      <c r="L45" s="13">
        <v>1</v>
      </c>
      <c r="M45" s="20"/>
      <c r="N45" s="20"/>
      <c r="O45" s="14">
        <v>6</v>
      </c>
      <c r="P45">
        <v>20.395271999999999</v>
      </c>
      <c r="Q45" s="20">
        <v>1</v>
      </c>
      <c r="R45">
        <v>1.1620000000000001E-3</v>
      </c>
      <c r="S45">
        <v>36.396428909999997</v>
      </c>
      <c r="T45" s="15">
        <f t="shared" si="0"/>
        <v>1.1620340243562331E-3</v>
      </c>
      <c r="V45" s="13">
        <v>0</v>
      </c>
      <c r="W45" s="15">
        <v>100000</v>
      </c>
      <c r="Y45">
        <v>0.37</v>
      </c>
    </row>
    <row r="46" spans="3:25" x14ac:dyDescent="0.25">
      <c r="C46" t="s">
        <v>151</v>
      </c>
      <c r="D46" t="s">
        <v>99</v>
      </c>
      <c r="E46" t="s">
        <v>146</v>
      </c>
      <c r="F46">
        <v>1</v>
      </c>
      <c r="G46">
        <v>5009.8</v>
      </c>
      <c r="H46">
        <v>0</v>
      </c>
      <c r="I46">
        <v>5009.8</v>
      </c>
      <c r="J46">
        <v>5009.8</v>
      </c>
      <c r="K46" s="13">
        <v>1</v>
      </c>
      <c r="L46" s="13">
        <v>1</v>
      </c>
      <c r="M46" s="20"/>
      <c r="N46" s="20"/>
      <c r="O46" s="14">
        <v>6</v>
      </c>
      <c r="P46">
        <v>20.395271999999999</v>
      </c>
      <c r="Q46" s="20">
        <v>1</v>
      </c>
      <c r="R46">
        <v>1.1620000000000001E-3</v>
      </c>
      <c r="S46">
        <v>35.141378819999993</v>
      </c>
      <c r="T46" s="15">
        <f t="shared" si="0"/>
        <v>1.1620340243562331E-3</v>
      </c>
      <c r="V46" s="13">
        <v>0</v>
      </c>
      <c r="W46" s="15">
        <v>100000</v>
      </c>
      <c r="Y46">
        <v>0.35</v>
      </c>
    </row>
    <row r="47" spans="3:25" x14ac:dyDescent="0.25">
      <c r="C47" t="s">
        <v>152</v>
      </c>
      <c r="D47" t="s">
        <v>105</v>
      </c>
      <c r="E47" t="s">
        <v>146</v>
      </c>
      <c r="F47">
        <v>1</v>
      </c>
      <c r="G47">
        <v>25443.4</v>
      </c>
      <c r="H47">
        <v>0</v>
      </c>
      <c r="I47">
        <v>25443.4</v>
      </c>
      <c r="J47">
        <v>25443.4</v>
      </c>
      <c r="K47" s="13">
        <v>1</v>
      </c>
      <c r="L47" s="13">
        <v>1</v>
      </c>
      <c r="M47" s="20"/>
      <c r="N47" s="20"/>
      <c r="O47" s="14">
        <v>6</v>
      </c>
      <c r="P47">
        <v>54.473447999999991</v>
      </c>
      <c r="Q47" s="20">
        <v>1</v>
      </c>
      <c r="R47">
        <v>1.1620000000000001E-3</v>
      </c>
      <c r="S47">
        <v>90.729997889999993</v>
      </c>
      <c r="T47" s="15">
        <f t="shared" si="0"/>
        <v>1.1620340243562331E-3</v>
      </c>
      <c r="V47" s="13">
        <v>0</v>
      </c>
      <c r="W47" s="15">
        <v>100000</v>
      </c>
      <c r="Y47">
        <v>0</v>
      </c>
    </row>
    <row r="48" spans="3:25" x14ac:dyDescent="0.25">
      <c r="C48" t="s">
        <v>153</v>
      </c>
      <c r="D48" t="s">
        <v>108</v>
      </c>
      <c r="E48" t="s">
        <v>146</v>
      </c>
      <c r="F48">
        <v>1</v>
      </c>
      <c r="G48">
        <v>2340.1</v>
      </c>
      <c r="H48">
        <v>0</v>
      </c>
      <c r="I48">
        <v>2340.1</v>
      </c>
      <c r="J48">
        <v>2340.1</v>
      </c>
      <c r="K48" s="13">
        <v>1</v>
      </c>
      <c r="L48" s="13">
        <v>1</v>
      </c>
      <c r="M48" s="20"/>
      <c r="N48" s="20"/>
      <c r="O48" s="14">
        <v>6</v>
      </c>
      <c r="P48">
        <v>128.48160799999999</v>
      </c>
      <c r="Q48" s="20">
        <v>1</v>
      </c>
      <c r="R48">
        <v>1.1620000000000001E-3</v>
      </c>
      <c r="S48">
        <v>356.66111276999999</v>
      </c>
      <c r="T48" s="15">
        <f t="shared" si="0"/>
        <v>1.1620340243562331E-3</v>
      </c>
      <c r="V48" s="13">
        <v>0</v>
      </c>
      <c r="W48" s="15">
        <v>100000</v>
      </c>
      <c r="Y48">
        <v>0.56999999999999995</v>
      </c>
    </row>
    <row r="49" spans="3:25" x14ac:dyDescent="0.25">
      <c r="C49" t="s">
        <v>154</v>
      </c>
      <c r="D49" t="s">
        <v>98</v>
      </c>
      <c r="E49" t="s">
        <v>155</v>
      </c>
      <c r="F49">
        <v>1</v>
      </c>
      <c r="G49">
        <v>393.1</v>
      </c>
      <c r="H49">
        <v>0</v>
      </c>
      <c r="I49">
        <v>393.1</v>
      </c>
      <c r="J49">
        <v>393.1</v>
      </c>
      <c r="K49" s="13">
        <v>1</v>
      </c>
      <c r="L49" s="13">
        <v>1</v>
      </c>
      <c r="M49" s="20"/>
      <c r="N49" s="20"/>
      <c r="O49" s="14">
        <v>6</v>
      </c>
      <c r="P49">
        <v>5.9378639999999994</v>
      </c>
      <c r="Q49" s="20">
        <v>1</v>
      </c>
      <c r="R49">
        <v>1.1620000000000001E-3</v>
      </c>
      <c r="S49">
        <v>16.954286009999997</v>
      </c>
      <c r="T49" s="15">
        <f t="shared" si="0"/>
        <v>1.1620340243562331E-3</v>
      </c>
      <c r="V49" s="13">
        <v>0</v>
      </c>
      <c r="W49" s="15">
        <v>100000</v>
      </c>
      <c r="Y49">
        <v>0.97</v>
      </c>
    </row>
    <row r="50" spans="3:25" x14ac:dyDescent="0.25">
      <c r="C50" t="s">
        <v>156</v>
      </c>
      <c r="D50" t="s">
        <v>98</v>
      </c>
      <c r="E50" t="s">
        <v>155</v>
      </c>
      <c r="F50">
        <v>1</v>
      </c>
      <c r="G50">
        <v>430</v>
      </c>
      <c r="H50">
        <v>0</v>
      </c>
      <c r="I50">
        <v>430</v>
      </c>
      <c r="J50">
        <v>430</v>
      </c>
      <c r="K50" s="13">
        <v>1</v>
      </c>
      <c r="L50" s="13">
        <v>1</v>
      </c>
      <c r="M50" s="20"/>
      <c r="N50" s="20"/>
      <c r="O50" s="14">
        <v>6</v>
      </c>
      <c r="P50">
        <v>5.9378639999999994</v>
      </c>
      <c r="Q50" s="20">
        <v>1</v>
      </c>
      <c r="R50">
        <v>1.1620000000000001E-3</v>
      </c>
      <c r="S50">
        <v>12.899999879999999</v>
      </c>
      <c r="T50" s="15">
        <f t="shared" si="0"/>
        <v>1.1620340243562331E-3</v>
      </c>
      <c r="V50" s="13">
        <v>0</v>
      </c>
      <c r="W50" s="15">
        <v>100000</v>
      </c>
      <c r="Y50">
        <v>0.74</v>
      </c>
    </row>
    <row r="51" spans="3:25" x14ac:dyDescent="0.25">
      <c r="C51" t="s">
        <v>157</v>
      </c>
      <c r="D51" t="s">
        <v>99</v>
      </c>
      <c r="E51" t="s">
        <v>155</v>
      </c>
      <c r="F51">
        <v>1</v>
      </c>
      <c r="G51">
        <v>111</v>
      </c>
      <c r="H51">
        <v>0</v>
      </c>
      <c r="I51">
        <v>111</v>
      </c>
      <c r="J51">
        <v>111</v>
      </c>
      <c r="K51" s="13">
        <v>1</v>
      </c>
      <c r="L51" s="13">
        <v>1</v>
      </c>
      <c r="M51" s="20"/>
      <c r="N51" s="20"/>
      <c r="O51" s="14">
        <v>6</v>
      </c>
      <c r="P51">
        <v>20.395271999999999</v>
      </c>
      <c r="Q51" s="20">
        <v>1</v>
      </c>
      <c r="R51">
        <v>1.1620000000000001E-3</v>
      </c>
      <c r="S51">
        <v>58.234286729999994</v>
      </c>
      <c r="T51" s="15">
        <f t="shared" si="0"/>
        <v>1.1620340243562331E-3</v>
      </c>
      <c r="V51" s="13">
        <v>0</v>
      </c>
      <c r="W51" s="15">
        <v>100000</v>
      </c>
      <c r="Y51">
        <v>0.59</v>
      </c>
    </row>
    <row r="52" spans="3:25" x14ac:dyDescent="0.25">
      <c r="C52" t="s">
        <v>158</v>
      </c>
      <c r="D52" t="s">
        <v>99</v>
      </c>
      <c r="E52" t="s">
        <v>155</v>
      </c>
      <c r="F52">
        <v>1</v>
      </c>
      <c r="G52">
        <v>86.4</v>
      </c>
      <c r="H52">
        <v>0</v>
      </c>
      <c r="I52">
        <v>86.4</v>
      </c>
      <c r="J52">
        <v>86.4</v>
      </c>
      <c r="K52" s="13">
        <v>1</v>
      </c>
      <c r="L52" s="13">
        <v>1</v>
      </c>
      <c r="M52" s="20"/>
      <c r="N52" s="20"/>
      <c r="O52" s="14">
        <v>6</v>
      </c>
      <c r="P52">
        <v>20.395271999999999</v>
      </c>
      <c r="Q52" s="20">
        <v>1</v>
      </c>
      <c r="R52">
        <v>1.1620000000000001E-3</v>
      </c>
      <c r="S52">
        <v>48.528570299999998</v>
      </c>
      <c r="T52" s="15">
        <f t="shared" si="0"/>
        <v>1.1620340243562331E-3</v>
      </c>
      <c r="V52" s="13">
        <v>0</v>
      </c>
      <c r="W52" s="15">
        <v>100000</v>
      </c>
      <c r="Y52">
        <v>0.49</v>
      </c>
    </row>
    <row r="53" spans="3:25" x14ac:dyDescent="0.25">
      <c r="C53" t="s">
        <v>159</v>
      </c>
      <c r="D53" t="s">
        <v>119</v>
      </c>
      <c r="E53" t="s">
        <v>155</v>
      </c>
      <c r="F53">
        <v>1</v>
      </c>
      <c r="G53">
        <v>531</v>
      </c>
      <c r="H53">
        <v>0</v>
      </c>
      <c r="I53">
        <v>531</v>
      </c>
      <c r="J53">
        <v>531</v>
      </c>
      <c r="K53" s="13">
        <v>1</v>
      </c>
      <c r="L53" s="13">
        <v>1</v>
      </c>
      <c r="M53" s="20"/>
      <c r="N53" s="20"/>
      <c r="O53" s="14">
        <v>6</v>
      </c>
      <c r="P53">
        <v>40.962656000000003</v>
      </c>
      <c r="Q53" s="20">
        <v>1</v>
      </c>
      <c r="R53">
        <v>1.1620000000000001E-3</v>
      </c>
      <c r="S53">
        <v>116.96000204000001</v>
      </c>
      <c r="T53" s="15">
        <f t="shared" si="0"/>
        <v>1.1620340243562331E-3</v>
      </c>
      <c r="V53" s="13">
        <v>0</v>
      </c>
      <c r="W53" s="15">
        <v>100000</v>
      </c>
      <c r="Y53">
        <v>0.8</v>
      </c>
    </row>
    <row r="54" spans="3:25" x14ac:dyDescent="0.25">
      <c r="C54" t="s">
        <v>160</v>
      </c>
      <c r="D54" t="s">
        <v>119</v>
      </c>
      <c r="E54" t="s">
        <v>155</v>
      </c>
      <c r="F54">
        <v>1</v>
      </c>
      <c r="G54">
        <v>65.099999999999994</v>
      </c>
      <c r="H54">
        <v>0</v>
      </c>
      <c r="I54">
        <v>65.099999999999994</v>
      </c>
      <c r="J54">
        <v>65.099999999999994</v>
      </c>
      <c r="K54" s="13">
        <v>1</v>
      </c>
      <c r="L54" s="13">
        <v>1</v>
      </c>
      <c r="M54" s="20"/>
      <c r="N54" s="20"/>
      <c r="O54" s="14">
        <v>6</v>
      </c>
      <c r="P54">
        <v>33.647896000000003</v>
      </c>
      <c r="Q54" s="20">
        <v>1</v>
      </c>
      <c r="R54">
        <v>1.1620000000000001E-3</v>
      </c>
      <c r="S54">
        <v>96.074287389999995</v>
      </c>
      <c r="T54" s="15">
        <f t="shared" si="0"/>
        <v>1.1620340243562331E-3</v>
      </c>
      <c r="V54" s="13">
        <v>0</v>
      </c>
      <c r="W54" s="15">
        <v>100000</v>
      </c>
      <c r="Y54">
        <v>0.8</v>
      </c>
    </row>
    <row r="55" spans="3:25" x14ac:dyDescent="0.25">
      <c r="C55" t="s">
        <v>161</v>
      </c>
      <c r="D55" t="s">
        <v>98</v>
      </c>
      <c r="E55" t="s">
        <v>162</v>
      </c>
      <c r="F55">
        <v>1</v>
      </c>
      <c r="G55">
        <v>355.9</v>
      </c>
      <c r="H55">
        <v>0</v>
      </c>
      <c r="I55">
        <v>355.9</v>
      </c>
      <c r="J55">
        <v>355.9</v>
      </c>
      <c r="K55" s="13">
        <v>1</v>
      </c>
      <c r="L55" s="13">
        <v>1</v>
      </c>
      <c r="M55" s="20"/>
      <c r="N55" s="20"/>
      <c r="O55" s="14">
        <v>6</v>
      </c>
      <c r="P55">
        <v>5.9378639999999994</v>
      </c>
      <c r="Q55" s="20">
        <v>1</v>
      </c>
      <c r="R55">
        <v>1.1620000000000001E-3</v>
      </c>
      <c r="S55">
        <v>16.954286009999997</v>
      </c>
      <c r="T55" s="15">
        <f t="shared" si="0"/>
        <v>1.1620340243562331E-3</v>
      </c>
      <c r="V55" s="13">
        <v>0</v>
      </c>
      <c r="W55" s="15">
        <v>100000</v>
      </c>
      <c r="Y55">
        <v>0.97</v>
      </c>
    </row>
    <row r="56" spans="3:25" x14ac:dyDescent="0.25">
      <c r="C56" t="s">
        <v>163</v>
      </c>
      <c r="D56" t="s">
        <v>99</v>
      </c>
      <c r="E56" t="s">
        <v>162</v>
      </c>
      <c r="F56">
        <v>1</v>
      </c>
      <c r="G56">
        <v>10.4</v>
      </c>
      <c r="H56">
        <v>0</v>
      </c>
      <c r="I56">
        <v>10.4</v>
      </c>
      <c r="J56">
        <v>10.4</v>
      </c>
      <c r="K56" s="13">
        <v>1</v>
      </c>
      <c r="L56" s="13">
        <v>1</v>
      </c>
      <c r="M56" s="20"/>
      <c r="N56" s="20"/>
      <c r="O56" s="14">
        <v>6</v>
      </c>
      <c r="P56">
        <v>20.395271999999999</v>
      </c>
      <c r="Q56" s="20">
        <v>1</v>
      </c>
      <c r="R56">
        <v>1.1620000000000001E-3</v>
      </c>
      <c r="S56">
        <v>42.46250079</v>
      </c>
      <c r="T56" s="15">
        <f t="shared" si="0"/>
        <v>1.1620340243562331E-3</v>
      </c>
      <c r="V56" s="13">
        <v>0</v>
      </c>
      <c r="W56" s="15">
        <v>100000</v>
      </c>
      <c r="Y56">
        <v>0.43</v>
      </c>
    </row>
    <row r="57" spans="3:25" x14ac:dyDescent="0.25">
      <c r="C57" t="s">
        <v>164</v>
      </c>
      <c r="D57" t="s">
        <v>99</v>
      </c>
      <c r="E57" t="s">
        <v>162</v>
      </c>
      <c r="F57">
        <v>1</v>
      </c>
      <c r="G57">
        <v>380.9</v>
      </c>
      <c r="H57">
        <v>0</v>
      </c>
      <c r="I57">
        <v>380.9</v>
      </c>
      <c r="J57">
        <v>380.9</v>
      </c>
      <c r="K57" s="13">
        <v>1</v>
      </c>
      <c r="L57" s="13">
        <v>1</v>
      </c>
      <c r="M57" s="20"/>
      <c r="N57" s="20"/>
      <c r="O57" s="14">
        <v>6</v>
      </c>
      <c r="P57">
        <v>20.395271999999999</v>
      </c>
      <c r="Q57" s="20">
        <v>1</v>
      </c>
      <c r="R57">
        <v>1.1620000000000001E-3</v>
      </c>
      <c r="S57">
        <v>58.234286729999994</v>
      </c>
      <c r="T57" s="15">
        <f t="shared" si="0"/>
        <v>1.1620340243562331E-3</v>
      </c>
      <c r="V57" s="13">
        <v>0</v>
      </c>
      <c r="W57" s="15">
        <v>100000</v>
      </c>
      <c r="Y57">
        <v>0.59</v>
      </c>
    </row>
    <row r="58" spans="3:25" x14ac:dyDescent="0.25">
      <c r="C58" t="s">
        <v>165</v>
      </c>
      <c r="D58" t="s">
        <v>99</v>
      </c>
      <c r="E58" t="s">
        <v>162</v>
      </c>
      <c r="F58">
        <v>1</v>
      </c>
      <c r="G58">
        <v>34.4</v>
      </c>
      <c r="H58">
        <v>0</v>
      </c>
      <c r="I58">
        <v>34.4</v>
      </c>
      <c r="J58">
        <v>34.4</v>
      </c>
      <c r="K58" s="13">
        <v>1</v>
      </c>
      <c r="L58" s="13">
        <v>1</v>
      </c>
      <c r="M58" s="20"/>
      <c r="N58" s="20"/>
      <c r="O58" s="14">
        <v>6</v>
      </c>
      <c r="P58">
        <v>20.395271999999999</v>
      </c>
      <c r="Q58" s="20">
        <v>1</v>
      </c>
      <c r="R58">
        <v>1.1620000000000001E-3</v>
      </c>
      <c r="S58">
        <v>48.528570299999998</v>
      </c>
      <c r="T58" s="15">
        <f t="shared" si="0"/>
        <v>1.1620340243562331E-3</v>
      </c>
      <c r="V58" s="13">
        <v>0</v>
      </c>
      <c r="W58" s="15">
        <v>100000</v>
      </c>
      <c r="Y58">
        <v>0.49</v>
      </c>
    </row>
    <row r="59" spans="3:25" x14ac:dyDescent="0.25">
      <c r="C59" t="s">
        <v>166</v>
      </c>
      <c r="D59" t="s">
        <v>119</v>
      </c>
      <c r="E59" t="s">
        <v>162</v>
      </c>
      <c r="F59">
        <v>1</v>
      </c>
      <c r="G59">
        <v>151.80000000000001</v>
      </c>
      <c r="H59">
        <v>0</v>
      </c>
      <c r="I59">
        <v>151.80000000000001</v>
      </c>
      <c r="J59">
        <v>151.80000000000001</v>
      </c>
      <c r="K59" s="13">
        <v>1</v>
      </c>
      <c r="L59" s="13">
        <v>1</v>
      </c>
      <c r="M59" s="20"/>
      <c r="N59" s="20"/>
      <c r="O59" s="14">
        <v>6</v>
      </c>
      <c r="P59">
        <v>40.962656000000003</v>
      </c>
      <c r="Q59" s="20">
        <v>1</v>
      </c>
      <c r="R59">
        <v>1.1620000000000001E-3</v>
      </c>
      <c r="S59">
        <v>116.96000204000001</v>
      </c>
      <c r="T59" s="15">
        <f t="shared" si="0"/>
        <v>1.1620340243562331E-3</v>
      </c>
      <c r="V59" s="13">
        <v>0</v>
      </c>
      <c r="W59" s="15">
        <v>100000</v>
      </c>
      <c r="Y59">
        <v>0.8</v>
      </c>
    </row>
    <row r="60" spans="3:25" x14ac:dyDescent="0.25">
      <c r="C60" t="s">
        <v>167</v>
      </c>
      <c r="D60" t="s">
        <v>99</v>
      </c>
      <c r="E60" t="s">
        <v>168</v>
      </c>
      <c r="F60">
        <v>1</v>
      </c>
      <c r="G60">
        <v>250</v>
      </c>
      <c r="H60">
        <v>0</v>
      </c>
      <c r="I60">
        <v>250</v>
      </c>
      <c r="J60">
        <v>250</v>
      </c>
      <c r="K60" s="13">
        <v>1</v>
      </c>
      <c r="L60" s="13">
        <v>1</v>
      </c>
      <c r="M60" s="20"/>
      <c r="N60" s="20"/>
      <c r="O60" s="14">
        <v>6</v>
      </c>
      <c r="P60">
        <v>20.395271999999999</v>
      </c>
      <c r="Q60" s="20">
        <v>1</v>
      </c>
      <c r="R60">
        <v>1.1620000000000001E-3</v>
      </c>
      <c r="S60">
        <v>33.969999209999997</v>
      </c>
      <c r="T60" s="15">
        <f t="shared" si="0"/>
        <v>1.1620340243562331E-3</v>
      </c>
      <c r="V60" s="13">
        <v>0</v>
      </c>
      <c r="W60" s="15">
        <v>100000</v>
      </c>
      <c r="Y60">
        <v>0.34</v>
      </c>
    </row>
    <row r="61" spans="3:25" x14ac:dyDescent="0.25">
      <c r="C61" t="s">
        <v>169</v>
      </c>
      <c r="D61" t="s">
        <v>119</v>
      </c>
      <c r="E61" t="s">
        <v>168</v>
      </c>
      <c r="F61">
        <v>1</v>
      </c>
      <c r="G61">
        <v>464</v>
      </c>
      <c r="H61">
        <v>0</v>
      </c>
      <c r="I61">
        <v>464</v>
      </c>
      <c r="J61">
        <v>464</v>
      </c>
      <c r="K61" s="13">
        <v>1</v>
      </c>
      <c r="L61" s="13">
        <v>1</v>
      </c>
      <c r="M61" s="20"/>
      <c r="N61" s="20"/>
      <c r="O61" s="14">
        <v>6</v>
      </c>
      <c r="P61">
        <v>9.7243279999999981</v>
      </c>
      <c r="Q61" s="20">
        <v>1</v>
      </c>
      <c r="R61">
        <v>1.1620000000000001E-3</v>
      </c>
      <c r="S61">
        <v>24.91794866</v>
      </c>
      <c r="T61" s="15">
        <f t="shared" si="0"/>
        <v>1.1620340243562331E-3</v>
      </c>
      <c r="V61" s="13">
        <v>0</v>
      </c>
      <c r="W61" s="15">
        <v>100000</v>
      </c>
      <c r="Y61">
        <v>0.92</v>
      </c>
    </row>
    <row r="62" spans="3:25" x14ac:dyDescent="0.25">
      <c r="C62" t="s">
        <v>170</v>
      </c>
      <c r="D62" t="s">
        <v>108</v>
      </c>
      <c r="E62" t="s">
        <v>168</v>
      </c>
      <c r="F62">
        <v>1</v>
      </c>
      <c r="G62">
        <v>135</v>
      </c>
      <c r="H62">
        <v>0</v>
      </c>
      <c r="I62">
        <v>135</v>
      </c>
      <c r="J62">
        <v>135</v>
      </c>
      <c r="K62" s="13">
        <v>1</v>
      </c>
      <c r="L62" s="13">
        <v>1</v>
      </c>
      <c r="M62" s="20"/>
      <c r="N62" s="20"/>
      <c r="O62" s="14">
        <v>6</v>
      </c>
      <c r="P62">
        <v>64.972279999999998</v>
      </c>
      <c r="Q62" s="20">
        <v>1</v>
      </c>
      <c r="R62">
        <v>1.1620000000000001E-3</v>
      </c>
      <c r="S62">
        <v>180.36111194999998</v>
      </c>
      <c r="T62" s="15">
        <f t="shared" si="0"/>
        <v>1.1620340243562331E-3</v>
      </c>
      <c r="V62" s="13">
        <v>0</v>
      </c>
      <c r="W62" s="15">
        <v>100000</v>
      </c>
      <c r="Y62">
        <v>0.56999999999999995</v>
      </c>
    </row>
    <row r="63" spans="3:25" x14ac:dyDescent="0.25">
      <c r="C63" t="s">
        <v>171</v>
      </c>
      <c r="D63" t="s">
        <v>99</v>
      </c>
      <c r="E63" t="s">
        <v>172</v>
      </c>
      <c r="F63">
        <v>1</v>
      </c>
      <c r="G63">
        <v>20517.599999999999</v>
      </c>
      <c r="H63">
        <v>0</v>
      </c>
      <c r="I63">
        <v>20517.599999999999</v>
      </c>
      <c r="J63">
        <v>20517.599999999999</v>
      </c>
      <c r="K63" s="13">
        <v>1</v>
      </c>
      <c r="L63" s="13">
        <v>1</v>
      </c>
      <c r="M63" s="20"/>
      <c r="N63" s="20"/>
      <c r="O63" s="14">
        <v>6</v>
      </c>
      <c r="P63">
        <v>20.395271999999999</v>
      </c>
      <c r="Q63" s="20">
        <v>1</v>
      </c>
      <c r="R63">
        <v>1.1620000000000001E-3</v>
      </c>
      <c r="S63">
        <v>36.396428909999997</v>
      </c>
      <c r="T63" s="15">
        <f t="shared" si="0"/>
        <v>1.1620340243562331E-3</v>
      </c>
      <c r="V63" s="13">
        <v>0</v>
      </c>
      <c r="W63" s="15">
        <v>100000</v>
      </c>
      <c r="Y63">
        <v>0.37</v>
      </c>
    </row>
    <row r="64" spans="3:25" x14ac:dyDescent="0.25">
      <c r="C64" t="s">
        <v>173</v>
      </c>
      <c r="D64" t="s">
        <v>108</v>
      </c>
      <c r="E64" t="s">
        <v>172</v>
      </c>
      <c r="F64">
        <v>1</v>
      </c>
      <c r="G64">
        <v>3980</v>
      </c>
      <c r="H64">
        <v>0</v>
      </c>
      <c r="I64">
        <v>3980</v>
      </c>
      <c r="J64">
        <v>3980</v>
      </c>
      <c r="K64" s="13">
        <v>1</v>
      </c>
      <c r="L64" s="13">
        <v>1</v>
      </c>
      <c r="M64" s="20"/>
      <c r="N64" s="20"/>
      <c r="O64" s="14">
        <v>6</v>
      </c>
      <c r="P64">
        <v>58.948360000000001</v>
      </c>
      <c r="Q64" s="20">
        <v>1</v>
      </c>
      <c r="R64">
        <v>1.1620000000000001E-3</v>
      </c>
      <c r="S64">
        <v>122.72916895000002</v>
      </c>
      <c r="T64" s="15">
        <f t="shared" si="0"/>
        <v>1.1620340243562331E-3</v>
      </c>
      <c r="V64" s="13">
        <v>0</v>
      </c>
      <c r="W64" s="15">
        <v>100000</v>
      </c>
      <c r="Y64">
        <v>0.43</v>
      </c>
    </row>
    <row r="65" spans="3:25" x14ac:dyDescent="0.25">
      <c r="C65" t="s">
        <v>174</v>
      </c>
      <c r="D65" t="s">
        <v>95</v>
      </c>
      <c r="E65" t="s">
        <v>175</v>
      </c>
      <c r="F65">
        <v>1</v>
      </c>
      <c r="G65">
        <v>4394</v>
      </c>
      <c r="H65">
        <v>0</v>
      </c>
      <c r="I65">
        <v>4394</v>
      </c>
      <c r="J65">
        <v>4394</v>
      </c>
      <c r="K65" s="13">
        <v>1</v>
      </c>
      <c r="L65" s="13">
        <v>1</v>
      </c>
      <c r="M65" s="20"/>
      <c r="N65" s="20"/>
      <c r="O65" s="14">
        <v>6</v>
      </c>
      <c r="P65">
        <v>6.0239199999999995</v>
      </c>
      <c r="Q65" s="20">
        <v>1</v>
      </c>
      <c r="R65">
        <v>1.1620000000000001E-3</v>
      </c>
      <c r="S65">
        <v>18.242424199999999</v>
      </c>
      <c r="T65" s="15">
        <f t="shared" si="0"/>
        <v>1.1620340243562331E-3</v>
      </c>
      <c r="V65" s="13">
        <v>0</v>
      </c>
      <c r="W65" s="15">
        <v>100000</v>
      </c>
      <c r="Y65">
        <v>0</v>
      </c>
    </row>
    <row r="66" spans="3:25" x14ac:dyDescent="0.25">
      <c r="C66" t="s">
        <v>176</v>
      </c>
      <c r="D66" t="s">
        <v>98</v>
      </c>
      <c r="E66" t="s">
        <v>175</v>
      </c>
      <c r="F66">
        <v>1</v>
      </c>
      <c r="G66">
        <v>266</v>
      </c>
      <c r="H66">
        <v>0</v>
      </c>
      <c r="I66">
        <v>266</v>
      </c>
      <c r="J66">
        <v>266</v>
      </c>
      <c r="K66" s="13">
        <v>1</v>
      </c>
      <c r="L66" s="13">
        <v>1</v>
      </c>
      <c r="M66" s="20"/>
      <c r="N66" s="20"/>
      <c r="O66" s="14">
        <v>6</v>
      </c>
      <c r="P66">
        <v>5.9378639999999994</v>
      </c>
      <c r="Q66" s="20">
        <v>1</v>
      </c>
      <c r="R66">
        <v>1.1620000000000001E-3</v>
      </c>
      <c r="S66">
        <v>14.834999999999999</v>
      </c>
      <c r="T66" s="15">
        <f t="shared" si="0"/>
        <v>1.1620340243562331E-3</v>
      </c>
      <c r="V66" s="13">
        <v>0</v>
      </c>
      <c r="W66" s="15">
        <v>100000</v>
      </c>
      <c r="Y66">
        <v>0.85</v>
      </c>
    </row>
    <row r="67" spans="3:25" x14ac:dyDescent="0.25">
      <c r="C67" t="s">
        <v>177</v>
      </c>
      <c r="D67" t="s">
        <v>98</v>
      </c>
      <c r="E67" t="s">
        <v>175</v>
      </c>
      <c r="F67">
        <v>1</v>
      </c>
      <c r="G67">
        <v>472</v>
      </c>
      <c r="H67">
        <v>0</v>
      </c>
      <c r="I67">
        <v>472</v>
      </c>
      <c r="J67">
        <v>472</v>
      </c>
      <c r="K67" s="13">
        <v>1</v>
      </c>
      <c r="L67" s="13">
        <v>1</v>
      </c>
      <c r="M67" s="20"/>
      <c r="N67" s="20"/>
      <c r="O67" s="14">
        <v>6</v>
      </c>
      <c r="P67">
        <v>5.9378639999999994</v>
      </c>
      <c r="Q67" s="20">
        <v>1</v>
      </c>
      <c r="R67">
        <v>1.1620000000000001E-3</v>
      </c>
      <c r="S67">
        <v>12.899999879999999</v>
      </c>
      <c r="T67" s="15">
        <f t="shared" si="0"/>
        <v>1.1620340243562331E-3</v>
      </c>
      <c r="V67" s="13">
        <v>0</v>
      </c>
      <c r="W67" s="15">
        <v>100000</v>
      </c>
      <c r="Y67">
        <v>0.74</v>
      </c>
    </row>
    <row r="68" spans="3:25" x14ac:dyDescent="0.25">
      <c r="C68" t="s">
        <v>178</v>
      </c>
      <c r="D68" t="s">
        <v>99</v>
      </c>
      <c r="E68" t="s">
        <v>175</v>
      </c>
      <c r="F68">
        <v>1</v>
      </c>
      <c r="G68">
        <v>480</v>
      </c>
      <c r="H68">
        <v>0</v>
      </c>
      <c r="I68">
        <v>480</v>
      </c>
      <c r="J68">
        <v>480</v>
      </c>
      <c r="K68" s="13">
        <v>1</v>
      </c>
      <c r="L68" s="13">
        <v>1</v>
      </c>
      <c r="M68" s="20"/>
      <c r="N68" s="20"/>
      <c r="O68" s="14">
        <v>6</v>
      </c>
      <c r="P68">
        <v>20.395271999999999</v>
      </c>
      <c r="Q68" s="20">
        <v>1</v>
      </c>
      <c r="R68">
        <v>1.1620000000000001E-3</v>
      </c>
      <c r="S68">
        <v>42.46250079</v>
      </c>
      <c r="T68" s="15">
        <f t="shared" si="0"/>
        <v>1.1620340243562331E-3</v>
      </c>
      <c r="V68" s="13">
        <v>0</v>
      </c>
      <c r="W68" s="15">
        <v>100000</v>
      </c>
      <c r="Y68">
        <v>0.43</v>
      </c>
    </row>
    <row r="69" spans="3:25" x14ac:dyDescent="0.25">
      <c r="C69" t="s">
        <v>179</v>
      </c>
      <c r="D69" t="s">
        <v>99</v>
      </c>
      <c r="E69" t="s">
        <v>175</v>
      </c>
      <c r="F69">
        <v>1</v>
      </c>
      <c r="G69">
        <v>38</v>
      </c>
      <c r="H69">
        <v>0</v>
      </c>
      <c r="I69">
        <v>38</v>
      </c>
      <c r="J69">
        <v>38</v>
      </c>
      <c r="K69" s="13">
        <v>1</v>
      </c>
      <c r="L69" s="13">
        <v>1</v>
      </c>
      <c r="M69" s="20"/>
      <c r="N69" s="20"/>
      <c r="O69" s="14">
        <v>6</v>
      </c>
      <c r="P69">
        <v>20.395271999999999</v>
      </c>
      <c r="Q69" s="20">
        <v>1</v>
      </c>
      <c r="R69">
        <v>1.1620000000000001E-3</v>
      </c>
      <c r="S69">
        <v>58.234286729999994</v>
      </c>
      <c r="T69" s="15">
        <f t="shared" si="0"/>
        <v>1.1620340243562331E-3</v>
      </c>
      <c r="V69" s="13">
        <v>0</v>
      </c>
      <c r="W69" s="15">
        <v>100000</v>
      </c>
      <c r="Y69">
        <v>0.59</v>
      </c>
    </row>
    <row r="70" spans="3:25" x14ac:dyDescent="0.25">
      <c r="C70" t="s">
        <v>180</v>
      </c>
      <c r="D70" t="s">
        <v>99</v>
      </c>
      <c r="E70" t="s">
        <v>175</v>
      </c>
      <c r="F70">
        <v>1</v>
      </c>
      <c r="G70">
        <v>87</v>
      </c>
      <c r="H70">
        <v>0</v>
      </c>
      <c r="I70">
        <v>87</v>
      </c>
      <c r="J70">
        <v>87</v>
      </c>
      <c r="K70" s="13">
        <v>1</v>
      </c>
      <c r="L70" s="13">
        <v>1</v>
      </c>
      <c r="M70" s="20"/>
      <c r="N70" s="20"/>
      <c r="O70" s="14">
        <v>6</v>
      </c>
      <c r="P70">
        <v>20.395271999999999</v>
      </c>
      <c r="Q70" s="20">
        <v>1</v>
      </c>
      <c r="R70">
        <v>1.1620000000000001E-3</v>
      </c>
      <c r="S70">
        <v>48.528570299999998</v>
      </c>
      <c r="T70" s="15">
        <f t="shared" si="0"/>
        <v>1.1620340243562331E-3</v>
      </c>
      <c r="V70" s="13">
        <v>0</v>
      </c>
      <c r="W70" s="15">
        <v>100000</v>
      </c>
      <c r="Y70">
        <v>0.49</v>
      </c>
    </row>
    <row r="71" spans="3:25" x14ac:dyDescent="0.25">
      <c r="C71" t="s">
        <v>181</v>
      </c>
      <c r="D71" t="s">
        <v>99</v>
      </c>
      <c r="E71" t="s">
        <v>175</v>
      </c>
      <c r="F71">
        <v>1</v>
      </c>
      <c r="G71">
        <v>234</v>
      </c>
      <c r="H71">
        <v>0</v>
      </c>
      <c r="I71">
        <v>234</v>
      </c>
      <c r="J71">
        <v>234</v>
      </c>
      <c r="K71" s="13">
        <v>1</v>
      </c>
      <c r="L71" s="13">
        <v>1</v>
      </c>
      <c r="M71" s="20"/>
      <c r="N71" s="20"/>
      <c r="O71" s="14">
        <v>6</v>
      </c>
      <c r="P71">
        <v>20.395271999999999</v>
      </c>
      <c r="Q71" s="20">
        <v>1</v>
      </c>
      <c r="R71">
        <v>1.1620000000000001E-3</v>
      </c>
      <c r="S71">
        <v>36.396428909999997</v>
      </c>
      <c r="T71" s="15">
        <f t="shared" si="0"/>
        <v>1.1620340243562331E-3</v>
      </c>
      <c r="V71" s="13">
        <v>0</v>
      </c>
      <c r="W71" s="15">
        <v>100000</v>
      </c>
      <c r="Y71">
        <v>0.37</v>
      </c>
    </row>
    <row r="72" spans="3:25" x14ac:dyDescent="0.25">
      <c r="C72" t="s">
        <v>182</v>
      </c>
      <c r="D72" t="s">
        <v>108</v>
      </c>
      <c r="E72" t="s">
        <v>175</v>
      </c>
      <c r="F72">
        <v>1</v>
      </c>
      <c r="G72">
        <v>133</v>
      </c>
      <c r="H72">
        <v>0</v>
      </c>
      <c r="I72">
        <v>133</v>
      </c>
      <c r="J72">
        <v>133</v>
      </c>
      <c r="K72" s="13">
        <v>1</v>
      </c>
      <c r="L72" s="13">
        <v>1</v>
      </c>
      <c r="M72" s="20"/>
      <c r="N72" s="20"/>
      <c r="O72" s="14">
        <v>6</v>
      </c>
      <c r="P72">
        <v>64.972279999999998</v>
      </c>
      <c r="Q72" s="20">
        <v>1</v>
      </c>
      <c r="R72">
        <v>1.1620000000000001E-3</v>
      </c>
      <c r="S72">
        <v>162.32499999999999</v>
      </c>
      <c r="T72" s="15">
        <f t="shared" si="0"/>
        <v>1.1620340243562331E-3</v>
      </c>
      <c r="V72" s="13">
        <v>0</v>
      </c>
      <c r="W72" s="15">
        <v>100000</v>
      </c>
      <c r="Y72">
        <v>0.51</v>
      </c>
    </row>
    <row r="73" spans="3:25" x14ac:dyDescent="0.25">
      <c r="C73" t="s">
        <v>183</v>
      </c>
      <c r="D73" t="s">
        <v>95</v>
      </c>
      <c r="E73" t="s">
        <v>184</v>
      </c>
      <c r="F73">
        <v>1</v>
      </c>
      <c r="G73">
        <v>62907</v>
      </c>
      <c r="H73">
        <v>0</v>
      </c>
      <c r="I73">
        <v>62907</v>
      </c>
      <c r="J73">
        <v>62907</v>
      </c>
      <c r="K73" s="13">
        <v>1</v>
      </c>
      <c r="L73" s="13">
        <v>1</v>
      </c>
      <c r="M73" s="20"/>
      <c r="N73" s="20"/>
      <c r="O73" s="14">
        <v>6</v>
      </c>
      <c r="P73">
        <v>6.0239199999999995</v>
      </c>
      <c r="Q73" s="20">
        <v>1</v>
      </c>
      <c r="R73">
        <v>1.1620000000000001E-3</v>
      </c>
      <c r="S73">
        <v>18.242424199999999</v>
      </c>
      <c r="T73" s="15">
        <f t="shared" ref="T73:T136" si="1">1/860.56</f>
        <v>1.1620340243562331E-3</v>
      </c>
      <c r="V73" s="13">
        <v>0</v>
      </c>
      <c r="W73" s="15">
        <v>100000</v>
      </c>
      <c r="Y73">
        <v>0</v>
      </c>
    </row>
    <row r="74" spans="3:25" x14ac:dyDescent="0.25">
      <c r="C74" t="s">
        <v>185</v>
      </c>
      <c r="D74" t="s">
        <v>99</v>
      </c>
      <c r="E74" t="s">
        <v>184</v>
      </c>
      <c r="F74">
        <v>1</v>
      </c>
      <c r="G74">
        <v>678</v>
      </c>
      <c r="H74">
        <v>0</v>
      </c>
      <c r="I74">
        <v>678</v>
      </c>
      <c r="J74">
        <v>678</v>
      </c>
      <c r="K74" s="13">
        <v>1</v>
      </c>
      <c r="L74" s="13">
        <v>1</v>
      </c>
      <c r="M74" s="20"/>
      <c r="N74" s="20"/>
      <c r="O74" s="14">
        <v>6</v>
      </c>
      <c r="P74">
        <v>20.395271999999999</v>
      </c>
      <c r="Q74" s="20">
        <v>1</v>
      </c>
      <c r="R74">
        <v>1.1620000000000001E-3</v>
      </c>
      <c r="S74">
        <v>36.396428909999997</v>
      </c>
      <c r="T74" s="15">
        <f t="shared" si="1"/>
        <v>1.1620340243562331E-3</v>
      </c>
      <c r="V74" s="13">
        <v>0</v>
      </c>
      <c r="W74" s="15">
        <v>100000</v>
      </c>
      <c r="Y74">
        <v>0.37</v>
      </c>
    </row>
    <row r="75" spans="3:25" x14ac:dyDescent="0.25">
      <c r="C75" t="s">
        <v>186</v>
      </c>
      <c r="D75" t="s">
        <v>99</v>
      </c>
      <c r="E75" t="s">
        <v>184</v>
      </c>
      <c r="F75">
        <v>1</v>
      </c>
      <c r="G75">
        <v>5347</v>
      </c>
      <c r="H75">
        <v>0</v>
      </c>
      <c r="I75">
        <v>5347</v>
      </c>
      <c r="J75">
        <v>5347</v>
      </c>
      <c r="K75" s="13">
        <v>1</v>
      </c>
      <c r="L75" s="13">
        <v>1</v>
      </c>
      <c r="M75" s="20"/>
      <c r="N75" s="20"/>
      <c r="O75" s="14">
        <v>6</v>
      </c>
      <c r="P75">
        <v>20.395271999999999</v>
      </c>
      <c r="Q75" s="20">
        <v>1</v>
      </c>
      <c r="R75">
        <v>1.1620000000000001E-3</v>
      </c>
      <c r="S75">
        <v>35.141378819999993</v>
      </c>
      <c r="T75" s="15">
        <f t="shared" si="1"/>
        <v>1.1620340243562331E-3</v>
      </c>
      <c r="V75" s="13">
        <v>0</v>
      </c>
      <c r="W75" s="15">
        <v>100000</v>
      </c>
      <c r="Y75">
        <v>0.35</v>
      </c>
    </row>
    <row r="76" spans="3:25" x14ac:dyDescent="0.25">
      <c r="C76" t="s">
        <v>187</v>
      </c>
      <c r="D76" t="s">
        <v>105</v>
      </c>
      <c r="E76" t="s">
        <v>184</v>
      </c>
      <c r="F76">
        <v>1</v>
      </c>
      <c r="G76">
        <v>1567</v>
      </c>
      <c r="H76">
        <v>0</v>
      </c>
      <c r="I76">
        <v>1567</v>
      </c>
      <c r="J76">
        <v>1567</v>
      </c>
      <c r="K76" s="13">
        <v>1</v>
      </c>
      <c r="L76" s="13">
        <v>1</v>
      </c>
      <c r="M76" s="20"/>
      <c r="N76" s="20"/>
      <c r="O76" s="14">
        <v>6</v>
      </c>
      <c r="P76">
        <v>54.473447999999991</v>
      </c>
      <c r="Q76" s="20">
        <v>1</v>
      </c>
      <c r="R76">
        <v>1.1620000000000001E-3</v>
      </c>
      <c r="S76">
        <v>90.729997889999993</v>
      </c>
      <c r="T76" s="15">
        <f t="shared" si="1"/>
        <v>1.1620340243562331E-3</v>
      </c>
      <c r="V76" s="13">
        <v>0</v>
      </c>
      <c r="W76" s="15">
        <v>100000</v>
      </c>
      <c r="Y76">
        <v>0</v>
      </c>
    </row>
    <row r="77" spans="3:25" x14ac:dyDescent="0.25">
      <c r="C77" t="s">
        <v>188</v>
      </c>
      <c r="D77" t="s">
        <v>108</v>
      </c>
      <c r="E77" t="s">
        <v>184</v>
      </c>
      <c r="F77">
        <v>1</v>
      </c>
      <c r="G77">
        <v>300</v>
      </c>
      <c r="H77">
        <v>0</v>
      </c>
      <c r="I77">
        <v>300</v>
      </c>
      <c r="J77">
        <v>300</v>
      </c>
      <c r="K77" s="13">
        <v>1</v>
      </c>
      <c r="L77" s="13">
        <v>1</v>
      </c>
      <c r="M77" s="20"/>
      <c r="N77" s="20"/>
      <c r="O77" s="14">
        <v>6</v>
      </c>
      <c r="P77">
        <v>64.972279999999998</v>
      </c>
      <c r="Q77" s="20">
        <v>1</v>
      </c>
      <c r="R77">
        <v>1.1620000000000001E-3</v>
      </c>
      <c r="S77">
        <v>185.51428894999998</v>
      </c>
      <c r="T77" s="15">
        <f t="shared" si="1"/>
        <v>1.1620340243562331E-3</v>
      </c>
      <c r="V77" s="13">
        <v>0</v>
      </c>
      <c r="W77" s="15">
        <v>100000</v>
      </c>
      <c r="Y77">
        <v>0.59</v>
      </c>
    </row>
    <row r="78" spans="3:25" x14ac:dyDescent="0.25">
      <c r="C78" t="s">
        <v>189</v>
      </c>
      <c r="D78" t="s">
        <v>108</v>
      </c>
      <c r="E78" t="s">
        <v>184</v>
      </c>
      <c r="F78">
        <v>1</v>
      </c>
      <c r="G78">
        <v>300</v>
      </c>
      <c r="H78">
        <v>0</v>
      </c>
      <c r="I78">
        <v>300</v>
      </c>
      <c r="J78">
        <v>300</v>
      </c>
      <c r="K78" s="13">
        <v>1</v>
      </c>
      <c r="L78" s="13">
        <v>1</v>
      </c>
      <c r="M78" s="20"/>
      <c r="N78" s="20"/>
      <c r="O78" s="14">
        <v>6</v>
      </c>
      <c r="P78">
        <v>82.355591999999987</v>
      </c>
      <c r="Q78" s="20">
        <v>1</v>
      </c>
      <c r="R78">
        <v>1.1620000000000001E-3</v>
      </c>
      <c r="S78">
        <v>235.14857552999996</v>
      </c>
      <c r="T78" s="15">
        <f t="shared" si="1"/>
        <v>1.1620340243562331E-3</v>
      </c>
      <c r="V78" s="13">
        <v>0</v>
      </c>
      <c r="W78" s="15">
        <v>100000</v>
      </c>
      <c r="Y78">
        <v>0.59</v>
      </c>
    </row>
    <row r="79" spans="3:25" x14ac:dyDescent="0.25">
      <c r="C79" t="s">
        <v>190</v>
      </c>
      <c r="D79" t="s">
        <v>119</v>
      </c>
      <c r="E79" t="s">
        <v>191</v>
      </c>
      <c r="F79">
        <v>1</v>
      </c>
      <c r="G79">
        <v>284</v>
      </c>
      <c r="H79">
        <v>0</v>
      </c>
      <c r="I79">
        <v>284</v>
      </c>
      <c r="J79">
        <v>284</v>
      </c>
      <c r="K79" s="13">
        <v>1</v>
      </c>
      <c r="L79" s="13">
        <v>1</v>
      </c>
      <c r="M79" s="20"/>
      <c r="N79" s="20"/>
      <c r="O79" s="14">
        <v>6</v>
      </c>
      <c r="P79">
        <v>40.962656000000003</v>
      </c>
      <c r="Q79" s="20">
        <v>1</v>
      </c>
      <c r="R79">
        <v>1.1620000000000001E-3</v>
      </c>
      <c r="S79">
        <v>116.96000204000001</v>
      </c>
      <c r="T79" s="15">
        <f t="shared" si="1"/>
        <v>1.1620340243562331E-3</v>
      </c>
      <c r="V79" s="13">
        <v>0</v>
      </c>
      <c r="W79" s="15">
        <v>100000</v>
      </c>
      <c r="Y79">
        <v>0.8</v>
      </c>
    </row>
    <row r="80" spans="3:25" x14ac:dyDescent="0.25">
      <c r="C80" t="s">
        <v>192</v>
      </c>
      <c r="D80" t="s">
        <v>99</v>
      </c>
      <c r="E80" t="s">
        <v>193</v>
      </c>
      <c r="F80">
        <v>1</v>
      </c>
      <c r="G80">
        <v>4701.8</v>
      </c>
      <c r="H80">
        <v>0</v>
      </c>
      <c r="I80">
        <v>4701.8</v>
      </c>
      <c r="J80">
        <v>4701.8</v>
      </c>
      <c r="K80" s="13">
        <v>1</v>
      </c>
      <c r="L80" s="13">
        <v>1</v>
      </c>
      <c r="M80" s="20"/>
      <c r="N80" s="20"/>
      <c r="O80" s="14">
        <v>6</v>
      </c>
      <c r="P80">
        <v>20.395271999999999</v>
      </c>
      <c r="Q80" s="20">
        <v>1</v>
      </c>
      <c r="R80">
        <v>1.1620000000000001E-3</v>
      </c>
      <c r="S80">
        <v>33.969999209999997</v>
      </c>
      <c r="T80" s="15">
        <f t="shared" si="1"/>
        <v>1.1620340243562331E-3</v>
      </c>
      <c r="V80" s="13">
        <v>0</v>
      </c>
      <c r="W80" s="15">
        <v>100000</v>
      </c>
      <c r="Y80">
        <v>0.34</v>
      </c>
    </row>
    <row r="81" spans="3:25" x14ac:dyDescent="0.25">
      <c r="C81" t="s">
        <v>194</v>
      </c>
      <c r="D81" t="s">
        <v>99</v>
      </c>
      <c r="E81" t="s">
        <v>193</v>
      </c>
      <c r="F81">
        <v>1</v>
      </c>
      <c r="G81">
        <v>1617.2</v>
      </c>
      <c r="H81">
        <v>0</v>
      </c>
      <c r="I81">
        <v>1617.2</v>
      </c>
      <c r="J81">
        <v>1617.2</v>
      </c>
      <c r="K81" s="13">
        <v>1</v>
      </c>
      <c r="L81" s="13">
        <v>1</v>
      </c>
      <c r="M81" s="20"/>
      <c r="N81" s="20"/>
      <c r="O81" s="14">
        <v>6</v>
      </c>
      <c r="P81">
        <v>20.395271999999999</v>
      </c>
      <c r="Q81" s="20">
        <v>1</v>
      </c>
      <c r="R81">
        <v>1.1620000000000001E-3</v>
      </c>
      <c r="S81">
        <v>35.141378819999993</v>
      </c>
      <c r="T81" s="15">
        <f t="shared" si="1"/>
        <v>1.1620340243562331E-3</v>
      </c>
      <c r="V81" s="13">
        <v>0</v>
      </c>
      <c r="W81" s="15">
        <v>100000</v>
      </c>
      <c r="Y81">
        <v>0.35</v>
      </c>
    </row>
    <row r="82" spans="3:25" x14ac:dyDescent="0.25">
      <c r="C82" t="s">
        <v>195</v>
      </c>
      <c r="D82" t="s">
        <v>99</v>
      </c>
      <c r="E82" t="s">
        <v>196</v>
      </c>
      <c r="F82">
        <v>1</v>
      </c>
      <c r="G82">
        <v>126</v>
      </c>
      <c r="H82">
        <v>0</v>
      </c>
      <c r="I82">
        <v>126</v>
      </c>
      <c r="J82">
        <v>126</v>
      </c>
      <c r="K82" s="13">
        <v>1</v>
      </c>
      <c r="L82" s="13">
        <v>1</v>
      </c>
      <c r="M82" s="20"/>
      <c r="N82" s="20"/>
      <c r="O82" s="14">
        <v>6</v>
      </c>
      <c r="P82">
        <v>20.395271999999999</v>
      </c>
      <c r="Q82" s="20">
        <v>1</v>
      </c>
      <c r="R82">
        <v>1.1620000000000001E-3</v>
      </c>
      <c r="S82">
        <v>33.969999209999997</v>
      </c>
      <c r="T82" s="15">
        <f t="shared" si="1"/>
        <v>1.1620340243562331E-3</v>
      </c>
      <c r="V82" s="13">
        <v>0</v>
      </c>
      <c r="W82" s="15">
        <v>100000</v>
      </c>
      <c r="Y82">
        <v>0.34</v>
      </c>
    </row>
    <row r="83" spans="3:25" x14ac:dyDescent="0.25">
      <c r="C83" t="s">
        <v>197</v>
      </c>
      <c r="D83" t="s">
        <v>99</v>
      </c>
      <c r="E83" t="s">
        <v>196</v>
      </c>
      <c r="F83">
        <v>1</v>
      </c>
      <c r="G83">
        <v>380</v>
      </c>
      <c r="H83">
        <v>0</v>
      </c>
      <c r="I83">
        <v>380</v>
      </c>
      <c r="J83">
        <v>380</v>
      </c>
      <c r="K83" s="13">
        <v>1</v>
      </c>
      <c r="L83" s="13">
        <v>1</v>
      </c>
      <c r="M83" s="20"/>
      <c r="N83" s="20"/>
      <c r="O83" s="14">
        <v>6</v>
      </c>
      <c r="P83">
        <v>20.395271999999999</v>
      </c>
      <c r="Q83" s="20">
        <v>1</v>
      </c>
      <c r="R83">
        <v>1.1620000000000001E-3</v>
      </c>
      <c r="S83">
        <v>35.141378819999993</v>
      </c>
      <c r="T83" s="15">
        <f t="shared" si="1"/>
        <v>1.1620340243562331E-3</v>
      </c>
      <c r="V83" s="13">
        <v>0</v>
      </c>
      <c r="W83" s="15">
        <v>100000</v>
      </c>
      <c r="Y83">
        <v>0.35</v>
      </c>
    </row>
    <row r="84" spans="3:25" x14ac:dyDescent="0.25">
      <c r="C84" t="s">
        <v>198</v>
      </c>
      <c r="D84" t="s">
        <v>108</v>
      </c>
      <c r="E84" t="s">
        <v>196</v>
      </c>
      <c r="F84">
        <v>1</v>
      </c>
      <c r="G84">
        <v>200</v>
      </c>
      <c r="H84">
        <v>0</v>
      </c>
      <c r="I84">
        <v>200</v>
      </c>
      <c r="J84">
        <v>200</v>
      </c>
      <c r="K84" s="13">
        <v>1</v>
      </c>
      <c r="L84" s="13">
        <v>1</v>
      </c>
      <c r="M84" s="20"/>
      <c r="N84" s="20"/>
      <c r="O84" s="14">
        <v>6</v>
      </c>
      <c r="P84">
        <v>64.972279999999998</v>
      </c>
      <c r="Q84" s="20">
        <v>1</v>
      </c>
      <c r="R84">
        <v>1.1620000000000001E-3</v>
      </c>
      <c r="S84">
        <v>180.36111194999998</v>
      </c>
      <c r="T84" s="15">
        <f t="shared" si="1"/>
        <v>1.1620340243562331E-3</v>
      </c>
      <c r="V84" s="13">
        <v>0</v>
      </c>
      <c r="W84" s="15">
        <v>100000</v>
      </c>
      <c r="Y84">
        <v>0.56999999999999995</v>
      </c>
    </row>
    <row r="85" spans="3:25" x14ac:dyDescent="0.25">
      <c r="C85" t="s">
        <v>199</v>
      </c>
      <c r="D85" t="s">
        <v>95</v>
      </c>
      <c r="E85" t="s">
        <v>200</v>
      </c>
      <c r="F85">
        <v>1</v>
      </c>
      <c r="G85">
        <v>4277</v>
      </c>
      <c r="H85">
        <v>0</v>
      </c>
      <c r="I85">
        <v>4277</v>
      </c>
      <c r="J85">
        <v>4277</v>
      </c>
      <c r="K85" s="13">
        <v>1</v>
      </c>
      <c r="L85" s="13">
        <v>1</v>
      </c>
      <c r="M85" s="20"/>
      <c r="N85" s="20"/>
      <c r="O85" s="14">
        <v>6</v>
      </c>
      <c r="P85">
        <v>6.0239199999999995</v>
      </c>
      <c r="Q85" s="20">
        <v>1</v>
      </c>
      <c r="R85">
        <v>1.1620000000000001E-3</v>
      </c>
      <c r="S85">
        <v>18.242424199999999</v>
      </c>
      <c r="T85" s="15">
        <f t="shared" si="1"/>
        <v>1.1620340243562331E-3</v>
      </c>
      <c r="V85" s="13">
        <v>0</v>
      </c>
      <c r="W85" s="15">
        <v>100000</v>
      </c>
      <c r="Y85">
        <v>0</v>
      </c>
    </row>
    <row r="86" spans="3:25" x14ac:dyDescent="0.25">
      <c r="C86" t="s">
        <v>201</v>
      </c>
      <c r="D86" t="s">
        <v>99</v>
      </c>
      <c r="E86" t="s">
        <v>200</v>
      </c>
      <c r="F86">
        <v>1</v>
      </c>
      <c r="G86">
        <v>384</v>
      </c>
      <c r="H86">
        <v>0</v>
      </c>
      <c r="I86">
        <v>384</v>
      </c>
      <c r="J86">
        <v>384</v>
      </c>
      <c r="K86" s="13">
        <v>1</v>
      </c>
      <c r="L86" s="13">
        <v>1</v>
      </c>
      <c r="M86" s="20"/>
      <c r="N86" s="20"/>
      <c r="O86" s="14">
        <v>6</v>
      </c>
      <c r="P86">
        <v>20.395271999999999</v>
      </c>
      <c r="Q86" s="20">
        <v>1</v>
      </c>
      <c r="R86">
        <v>1.1620000000000001E-3</v>
      </c>
      <c r="S86">
        <v>42.46250079</v>
      </c>
      <c r="T86" s="15">
        <f t="shared" si="1"/>
        <v>1.1620340243562331E-3</v>
      </c>
      <c r="V86" s="13">
        <v>0</v>
      </c>
      <c r="W86" s="15">
        <v>100000</v>
      </c>
      <c r="Y86">
        <v>0.43</v>
      </c>
    </row>
    <row r="87" spans="3:25" x14ac:dyDescent="0.25">
      <c r="C87" t="s">
        <v>202</v>
      </c>
      <c r="D87" t="s">
        <v>99</v>
      </c>
      <c r="E87" t="s">
        <v>200</v>
      </c>
      <c r="F87">
        <v>1</v>
      </c>
      <c r="G87">
        <v>1759</v>
      </c>
      <c r="H87">
        <v>0</v>
      </c>
      <c r="I87">
        <v>1759</v>
      </c>
      <c r="J87">
        <v>1759</v>
      </c>
      <c r="K87" s="13">
        <v>1</v>
      </c>
      <c r="L87" s="13">
        <v>1</v>
      </c>
      <c r="M87" s="20"/>
      <c r="N87" s="20"/>
      <c r="O87" s="14">
        <v>6</v>
      </c>
      <c r="P87">
        <v>20.395271999999999</v>
      </c>
      <c r="Q87" s="20">
        <v>1</v>
      </c>
      <c r="R87">
        <v>1.1620000000000001E-3</v>
      </c>
      <c r="S87">
        <v>33.969999209999997</v>
      </c>
      <c r="T87" s="15">
        <f t="shared" si="1"/>
        <v>1.1620340243562331E-3</v>
      </c>
      <c r="V87" s="13">
        <v>0</v>
      </c>
      <c r="W87" s="15">
        <v>100000</v>
      </c>
      <c r="Y87">
        <v>0.34</v>
      </c>
    </row>
    <row r="88" spans="3:25" x14ac:dyDescent="0.25">
      <c r="C88" t="s">
        <v>203</v>
      </c>
      <c r="D88" t="s">
        <v>99</v>
      </c>
      <c r="E88" t="s">
        <v>200</v>
      </c>
      <c r="F88">
        <v>1</v>
      </c>
      <c r="G88">
        <v>154</v>
      </c>
      <c r="H88">
        <v>0</v>
      </c>
      <c r="I88">
        <v>154</v>
      </c>
      <c r="J88">
        <v>154</v>
      </c>
      <c r="K88" s="13">
        <v>1</v>
      </c>
      <c r="L88" s="13">
        <v>1</v>
      </c>
      <c r="M88" s="20"/>
      <c r="N88" s="20"/>
      <c r="O88" s="14">
        <v>6</v>
      </c>
      <c r="P88">
        <v>20.395271999999999</v>
      </c>
      <c r="Q88" s="20">
        <v>1</v>
      </c>
      <c r="R88">
        <v>1.1620000000000001E-3</v>
      </c>
      <c r="S88">
        <v>58.234286729999994</v>
      </c>
      <c r="T88" s="15">
        <f t="shared" si="1"/>
        <v>1.1620340243562331E-3</v>
      </c>
      <c r="V88" s="13">
        <v>0</v>
      </c>
      <c r="W88" s="15">
        <v>100000</v>
      </c>
      <c r="Y88">
        <v>0.59</v>
      </c>
    </row>
    <row r="89" spans="3:25" x14ac:dyDescent="0.25">
      <c r="C89" t="s">
        <v>204</v>
      </c>
      <c r="D89" t="s">
        <v>119</v>
      </c>
      <c r="E89" t="s">
        <v>200</v>
      </c>
      <c r="F89">
        <v>1</v>
      </c>
      <c r="G89">
        <v>10</v>
      </c>
      <c r="H89">
        <v>0</v>
      </c>
      <c r="I89">
        <v>10</v>
      </c>
      <c r="J89">
        <v>10</v>
      </c>
      <c r="K89" s="13">
        <v>1</v>
      </c>
      <c r="L89" s="13">
        <v>1</v>
      </c>
      <c r="M89" s="20"/>
      <c r="N89" s="20"/>
      <c r="O89" s="14">
        <v>6</v>
      </c>
      <c r="P89">
        <v>40.962656000000003</v>
      </c>
      <c r="Q89" s="20">
        <v>1</v>
      </c>
      <c r="R89">
        <v>1.1620000000000001E-3</v>
      </c>
      <c r="S89">
        <v>116.96000204000001</v>
      </c>
      <c r="T89" s="15">
        <f t="shared" si="1"/>
        <v>1.1620340243562331E-3</v>
      </c>
      <c r="V89" s="13">
        <v>0</v>
      </c>
      <c r="W89" s="15">
        <v>100000</v>
      </c>
      <c r="Y89">
        <v>0.8</v>
      </c>
    </row>
    <row r="90" spans="3:25" x14ac:dyDescent="0.25">
      <c r="C90" t="s">
        <v>205</v>
      </c>
      <c r="D90" t="s">
        <v>99</v>
      </c>
      <c r="E90" t="s">
        <v>200</v>
      </c>
      <c r="F90">
        <v>1</v>
      </c>
      <c r="G90">
        <v>828</v>
      </c>
      <c r="H90">
        <v>0</v>
      </c>
      <c r="I90">
        <v>828</v>
      </c>
      <c r="J90">
        <v>828</v>
      </c>
      <c r="K90" s="13">
        <v>1</v>
      </c>
      <c r="L90" s="13">
        <v>1</v>
      </c>
      <c r="M90" s="20"/>
      <c r="N90" s="20"/>
      <c r="O90" s="14">
        <v>6</v>
      </c>
      <c r="P90">
        <v>20.395271999999999</v>
      </c>
      <c r="Q90" s="20">
        <v>1</v>
      </c>
      <c r="R90">
        <v>1.1620000000000001E-3</v>
      </c>
      <c r="S90">
        <v>36.396428909999997</v>
      </c>
      <c r="T90" s="15">
        <f t="shared" si="1"/>
        <v>1.1620340243562331E-3</v>
      </c>
      <c r="V90" s="13">
        <v>0</v>
      </c>
      <c r="W90" s="15">
        <v>100000</v>
      </c>
      <c r="Y90">
        <v>0.37</v>
      </c>
    </row>
    <row r="91" spans="3:25" x14ac:dyDescent="0.25">
      <c r="C91" t="s">
        <v>206</v>
      </c>
      <c r="D91" t="s">
        <v>108</v>
      </c>
      <c r="E91" t="s">
        <v>200</v>
      </c>
      <c r="F91">
        <v>1</v>
      </c>
      <c r="G91">
        <v>1110.4000000000001</v>
      </c>
      <c r="H91">
        <v>0</v>
      </c>
      <c r="I91">
        <v>1110.4000000000001</v>
      </c>
      <c r="J91">
        <v>1110.4000000000001</v>
      </c>
      <c r="K91" s="13">
        <v>1</v>
      </c>
      <c r="L91" s="13">
        <v>1</v>
      </c>
      <c r="M91" s="20"/>
      <c r="N91" s="20"/>
      <c r="O91" s="14">
        <v>6</v>
      </c>
      <c r="P91">
        <v>128.48160799999999</v>
      </c>
      <c r="Q91" s="20">
        <v>1</v>
      </c>
      <c r="R91">
        <v>1.1620000000000001E-3</v>
      </c>
      <c r="S91">
        <v>356.66111276999999</v>
      </c>
      <c r="T91" s="15">
        <f t="shared" si="1"/>
        <v>1.1620340243562331E-3</v>
      </c>
      <c r="V91" s="13">
        <v>0</v>
      </c>
      <c r="W91" s="15">
        <v>100000</v>
      </c>
      <c r="Y91">
        <v>0</v>
      </c>
    </row>
    <row r="92" spans="3:25" x14ac:dyDescent="0.25">
      <c r="C92" t="s">
        <v>207</v>
      </c>
      <c r="D92" t="s">
        <v>98</v>
      </c>
      <c r="E92" t="s">
        <v>208</v>
      </c>
      <c r="F92">
        <v>1</v>
      </c>
      <c r="G92">
        <v>73</v>
      </c>
      <c r="H92">
        <v>0</v>
      </c>
      <c r="I92">
        <v>73</v>
      </c>
      <c r="J92">
        <v>73</v>
      </c>
      <c r="K92" s="13">
        <v>1</v>
      </c>
      <c r="L92" s="13">
        <v>1</v>
      </c>
      <c r="M92" s="20"/>
      <c r="N92" s="20"/>
      <c r="O92" s="14">
        <v>6</v>
      </c>
      <c r="P92">
        <v>6.4541999999999993</v>
      </c>
      <c r="Q92" s="20">
        <v>1</v>
      </c>
      <c r="R92">
        <v>1.1620000000000001E-3</v>
      </c>
      <c r="S92">
        <v>18.42857175</v>
      </c>
      <c r="T92" s="15">
        <f t="shared" si="1"/>
        <v>1.1620340243562331E-3</v>
      </c>
      <c r="V92" s="13">
        <v>0</v>
      </c>
      <c r="W92" s="15">
        <v>100000</v>
      </c>
      <c r="Y92">
        <v>1.04</v>
      </c>
    </row>
    <row r="93" spans="3:25" x14ac:dyDescent="0.25">
      <c r="C93" t="s">
        <v>209</v>
      </c>
      <c r="D93" t="s">
        <v>99</v>
      </c>
      <c r="E93" t="s">
        <v>208</v>
      </c>
      <c r="F93">
        <v>1</v>
      </c>
      <c r="G93">
        <v>294.2</v>
      </c>
      <c r="H93">
        <v>0</v>
      </c>
      <c r="I93">
        <v>294.2</v>
      </c>
      <c r="J93">
        <v>294.2</v>
      </c>
      <c r="K93" s="13">
        <v>1</v>
      </c>
      <c r="L93" s="13">
        <v>1</v>
      </c>
      <c r="M93" s="20"/>
      <c r="N93" s="20"/>
      <c r="O93" s="14">
        <v>6</v>
      </c>
      <c r="P93">
        <v>20.395271999999999</v>
      </c>
      <c r="Q93" s="20">
        <v>1</v>
      </c>
      <c r="R93">
        <v>1.1620000000000001E-3</v>
      </c>
      <c r="S93">
        <v>50.954999999999998</v>
      </c>
      <c r="T93" s="15">
        <f t="shared" si="1"/>
        <v>1.1620340243562331E-3</v>
      </c>
      <c r="V93" s="13">
        <v>0</v>
      </c>
      <c r="W93" s="15">
        <v>100000</v>
      </c>
      <c r="Y93">
        <v>0.51</v>
      </c>
    </row>
    <row r="94" spans="3:25" x14ac:dyDescent="0.25">
      <c r="C94" t="s">
        <v>210</v>
      </c>
      <c r="D94" t="s">
        <v>99</v>
      </c>
      <c r="E94" t="s">
        <v>208</v>
      </c>
      <c r="F94">
        <v>1</v>
      </c>
      <c r="G94">
        <v>407</v>
      </c>
      <c r="H94">
        <v>0</v>
      </c>
      <c r="I94">
        <v>407</v>
      </c>
      <c r="J94">
        <v>407</v>
      </c>
      <c r="K94" s="13">
        <v>1</v>
      </c>
      <c r="L94" s="13">
        <v>1</v>
      </c>
      <c r="M94" s="20"/>
      <c r="N94" s="20"/>
      <c r="O94" s="14">
        <v>6</v>
      </c>
      <c r="P94">
        <v>20.395271999999999</v>
      </c>
      <c r="Q94" s="20">
        <v>1</v>
      </c>
      <c r="R94">
        <v>1.1620000000000001E-3</v>
      </c>
      <c r="S94">
        <v>42.46250079</v>
      </c>
      <c r="T94" s="15">
        <f t="shared" si="1"/>
        <v>1.1620340243562331E-3</v>
      </c>
      <c r="V94" s="13">
        <v>0</v>
      </c>
      <c r="W94" s="15">
        <v>100000</v>
      </c>
      <c r="Y94">
        <v>0.43</v>
      </c>
    </row>
    <row r="95" spans="3:25" x14ac:dyDescent="0.25">
      <c r="C95" t="s">
        <v>211</v>
      </c>
      <c r="D95" t="s">
        <v>99</v>
      </c>
      <c r="E95" t="s">
        <v>208</v>
      </c>
      <c r="F95">
        <v>1</v>
      </c>
      <c r="G95">
        <v>2238.1999999999998</v>
      </c>
      <c r="H95">
        <v>0</v>
      </c>
      <c r="I95">
        <v>2238.1999999999998</v>
      </c>
      <c r="J95">
        <v>2238.1999999999998</v>
      </c>
      <c r="K95" s="13">
        <v>1</v>
      </c>
      <c r="L95" s="13">
        <v>1</v>
      </c>
      <c r="M95" s="20"/>
      <c r="N95" s="20"/>
      <c r="O95" s="14">
        <v>6</v>
      </c>
      <c r="P95">
        <v>20.395271999999999</v>
      </c>
      <c r="Q95" s="20">
        <v>1</v>
      </c>
      <c r="R95">
        <v>1.1620000000000001E-3</v>
      </c>
      <c r="S95">
        <v>33.969999209999997</v>
      </c>
      <c r="T95" s="15">
        <f t="shared" si="1"/>
        <v>1.1620340243562331E-3</v>
      </c>
      <c r="V95" s="13">
        <v>0</v>
      </c>
      <c r="W95" s="15">
        <v>100000</v>
      </c>
      <c r="Y95">
        <v>0.34</v>
      </c>
    </row>
    <row r="96" spans="3:25" x14ac:dyDescent="0.25">
      <c r="C96" t="s">
        <v>212</v>
      </c>
      <c r="D96" t="s">
        <v>99</v>
      </c>
      <c r="E96" t="s">
        <v>208</v>
      </c>
      <c r="F96">
        <v>1</v>
      </c>
      <c r="G96">
        <v>116</v>
      </c>
      <c r="H96">
        <v>0</v>
      </c>
      <c r="I96">
        <v>116</v>
      </c>
      <c r="J96">
        <v>116</v>
      </c>
      <c r="K96" s="13">
        <v>1</v>
      </c>
      <c r="L96" s="13">
        <v>1</v>
      </c>
      <c r="M96" s="20"/>
      <c r="N96" s="20"/>
      <c r="O96" s="14">
        <v>6</v>
      </c>
      <c r="P96">
        <v>20.395271999999999</v>
      </c>
      <c r="Q96" s="20">
        <v>1</v>
      </c>
      <c r="R96">
        <v>1.1620000000000001E-3</v>
      </c>
      <c r="S96">
        <v>48.528570299999998</v>
      </c>
      <c r="T96" s="15">
        <f t="shared" si="1"/>
        <v>1.1620340243562331E-3</v>
      </c>
      <c r="V96" s="13">
        <v>0</v>
      </c>
      <c r="W96" s="15">
        <v>100000</v>
      </c>
      <c r="Y96">
        <v>0.49</v>
      </c>
    </row>
    <row r="97" spans="3:25" x14ac:dyDescent="0.25">
      <c r="C97" t="s">
        <v>213</v>
      </c>
      <c r="D97" t="s">
        <v>119</v>
      </c>
      <c r="E97" t="s">
        <v>208</v>
      </c>
      <c r="F97">
        <v>1</v>
      </c>
      <c r="G97">
        <v>188</v>
      </c>
      <c r="H97">
        <v>0</v>
      </c>
      <c r="I97">
        <v>188</v>
      </c>
      <c r="J97">
        <v>188</v>
      </c>
      <c r="K97" s="13">
        <v>1</v>
      </c>
      <c r="L97" s="13">
        <v>1</v>
      </c>
      <c r="M97" s="20"/>
      <c r="N97" s="20"/>
      <c r="O97" s="14">
        <v>6</v>
      </c>
      <c r="P97">
        <v>40.962656000000003</v>
      </c>
      <c r="Q97" s="20">
        <v>1</v>
      </c>
      <c r="R97">
        <v>1.1620000000000001E-3</v>
      </c>
      <c r="S97">
        <v>116.96000204000001</v>
      </c>
      <c r="T97" s="15">
        <f t="shared" si="1"/>
        <v>1.1620340243562331E-3</v>
      </c>
      <c r="V97" s="13">
        <v>0</v>
      </c>
      <c r="W97" s="15">
        <v>100000</v>
      </c>
      <c r="Y97">
        <v>0.8</v>
      </c>
    </row>
    <row r="98" spans="3:25" x14ac:dyDescent="0.25">
      <c r="C98" t="s">
        <v>214</v>
      </c>
      <c r="D98" t="s">
        <v>99</v>
      </c>
      <c r="E98" t="s">
        <v>208</v>
      </c>
      <c r="F98">
        <v>1</v>
      </c>
      <c r="G98">
        <v>803</v>
      </c>
      <c r="H98">
        <v>0</v>
      </c>
      <c r="I98">
        <v>803</v>
      </c>
      <c r="J98">
        <v>803</v>
      </c>
      <c r="K98" s="13">
        <v>1</v>
      </c>
      <c r="L98" s="13">
        <v>1</v>
      </c>
      <c r="M98" s="20"/>
      <c r="N98" s="20"/>
      <c r="O98" s="14">
        <v>6</v>
      </c>
      <c r="P98">
        <v>20.395271999999999</v>
      </c>
      <c r="Q98" s="20">
        <v>1</v>
      </c>
      <c r="R98">
        <v>1.1620000000000001E-3</v>
      </c>
      <c r="S98">
        <v>36.396428909999997</v>
      </c>
      <c r="T98" s="15">
        <f t="shared" si="1"/>
        <v>1.1620340243562331E-3</v>
      </c>
      <c r="V98" s="13">
        <v>0</v>
      </c>
      <c r="W98" s="15">
        <v>100000</v>
      </c>
      <c r="Y98">
        <v>0.37</v>
      </c>
    </row>
    <row r="99" spans="3:25" x14ac:dyDescent="0.25">
      <c r="C99" t="s">
        <v>215</v>
      </c>
      <c r="D99" t="s">
        <v>99</v>
      </c>
      <c r="E99" t="s">
        <v>208</v>
      </c>
      <c r="F99">
        <v>1</v>
      </c>
      <c r="G99">
        <v>2098</v>
      </c>
      <c r="H99">
        <v>0</v>
      </c>
      <c r="I99">
        <v>2098</v>
      </c>
      <c r="J99">
        <v>2098</v>
      </c>
      <c r="K99" s="13">
        <v>1</v>
      </c>
      <c r="L99" s="13">
        <v>1</v>
      </c>
      <c r="M99" s="20"/>
      <c r="N99" s="20"/>
      <c r="O99" s="14">
        <v>6</v>
      </c>
      <c r="P99">
        <v>20.395271999999999</v>
      </c>
      <c r="Q99" s="20">
        <v>1</v>
      </c>
      <c r="R99">
        <v>1.1620000000000001E-3</v>
      </c>
      <c r="S99">
        <v>35.141378819999993</v>
      </c>
      <c r="T99" s="15">
        <f t="shared" si="1"/>
        <v>1.1620340243562331E-3</v>
      </c>
      <c r="V99" s="13">
        <v>0</v>
      </c>
      <c r="W99" s="15">
        <v>100000</v>
      </c>
      <c r="Y99">
        <v>0.35</v>
      </c>
    </row>
    <row r="100" spans="3:25" x14ac:dyDescent="0.25">
      <c r="C100" t="s">
        <v>216</v>
      </c>
      <c r="D100" t="s">
        <v>105</v>
      </c>
      <c r="E100" t="s">
        <v>208</v>
      </c>
      <c r="F100">
        <v>1</v>
      </c>
      <c r="G100">
        <v>2093</v>
      </c>
      <c r="H100">
        <v>0</v>
      </c>
      <c r="I100">
        <v>2093</v>
      </c>
      <c r="J100">
        <v>2093</v>
      </c>
      <c r="K100" s="13">
        <v>1</v>
      </c>
      <c r="L100" s="13">
        <v>1</v>
      </c>
      <c r="M100" s="20"/>
      <c r="N100" s="20"/>
      <c r="O100" s="14">
        <v>6</v>
      </c>
      <c r="P100">
        <v>54.473447999999991</v>
      </c>
      <c r="Q100" s="20">
        <v>1</v>
      </c>
      <c r="R100">
        <v>1.1620000000000001E-3</v>
      </c>
      <c r="S100">
        <v>90.729997889999993</v>
      </c>
      <c r="T100" s="15">
        <f t="shared" si="1"/>
        <v>1.1620340243562331E-3</v>
      </c>
      <c r="V100" s="13">
        <v>0</v>
      </c>
      <c r="W100" s="15">
        <v>100000</v>
      </c>
      <c r="Y100">
        <v>0</v>
      </c>
    </row>
    <row r="101" spans="3:25" x14ac:dyDescent="0.25">
      <c r="C101" t="s">
        <v>217</v>
      </c>
      <c r="D101" t="s">
        <v>99</v>
      </c>
      <c r="E101" t="s">
        <v>218</v>
      </c>
      <c r="F101">
        <v>1</v>
      </c>
      <c r="G101">
        <v>3274</v>
      </c>
      <c r="H101">
        <v>0</v>
      </c>
      <c r="I101">
        <v>3274</v>
      </c>
      <c r="J101">
        <v>3274</v>
      </c>
      <c r="K101" s="13">
        <v>1</v>
      </c>
      <c r="L101" s="13">
        <v>1</v>
      </c>
      <c r="M101" s="20"/>
      <c r="N101" s="20"/>
      <c r="O101" s="14">
        <v>6</v>
      </c>
      <c r="P101">
        <v>20.395271999999999</v>
      </c>
      <c r="Q101" s="20">
        <v>1</v>
      </c>
      <c r="R101">
        <v>1.1620000000000001E-3</v>
      </c>
      <c r="S101">
        <v>33.969999209999997</v>
      </c>
      <c r="T101" s="15">
        <f t="shared" si="1"/>
        <v>1.1620340243562331E-3</v>
      </c>
      <c r="V101" s="13">
        <v>0</v>
      </c>
      <c r="W101" s="15">
        <v>100000</v>
      </c>
      <c r="Y101">
        <v>0.34</v>
      </c>
    </row>
    <row r="102" spans="3:25" x14ac:dyDescent="0.25">
      <c r="C102" t="s">
        <v>219</v>
      </c>
      <c r="D102" t="s">
        <v>99</v>
      </c>
      <c r="E102" t="s">
        <v>218</v>
      </c>
      <c r="F102">
        <v>1</v>
      </c>
      <c r="G102">
        <v>222.9</v>
      </c>
      <c r="H102">
        <v>0</v>
      </c>
      <c r="I102">
        <v>222.9</v>
      </c>
      <c r="J102">
        <v>222.9</v>
      </c>
      <c r="K102" s="13">
        <v>1</v>
      </c>
      <c r="L102" s="13">
        <v>1</v>
      </c>
      <c r="M102" s="20"/>
      <c r="N102" s="20"/>
      <c r="O102" s="14">
        <v>6</v>
      </c>
      <c r="P102">
        <v>20.395271999999999</v>
      </c>
      <c r="Q102" s="20">
        <v>1</v>
      </c>
      <c r="R102">
        <v>1.1620000000000001E-3</v>
      </c>
      <c r="S102">
        <v>58.234286729999994</v>
      </c>
      <c r="T102" s="15">
        <f t="shared" si="1"/>
        <v>1.1620340243562331E-3</v>
      </c>
      <c r="V102" s="13">
        <v>0</v>
      </c>
      <c r="W102" s="15">
        <v>100000</v>
      </c>
      <c r="Y102">
        <v>0.59</v>
      </c>
    </row>
    <row r="103" spans="3:25" x14ac:dyDescent="0.25">
      <c r="C103" t="s">
        <v>220</v>
      </c>
      <c r="D103" t="s">
        <v>108</v>
      </c>
      <c r="E103" t="s">
        <v>218</v>
      </c>
      <c r="F103">
        <v>1</v>
      </c>
      <c r="G103">
        <v>47.3</v>
      </c>
      <c r="H103">
        <v>0</v>
      </c>
      <c r="I103">
        <v>47.3</v>
      </c>
      <c r="J103">
        <v>47.3</v>
      </c>
      <c r="K103" s="13">
        <v>1</v>
      </c>
      <c r="L103" s="13">
        <v>1</v>
      </c>
      <c r="M103" s="20"/>
      <c r="N103" s="20"/>
      <c r="O103" s="14">
        <v>6</v>
      </c>
      <c r="P103">
        <v>64.972279999999998</v>
      </c>
      <c r="Q103" s="20">
        <v>1</v>
      </c>
      <c r="R103">
        <v>1.1620000000000001E-3</v>
      </c>
      <c r="S103">
        <v>158.36585550000001</v>
      </c>
      <c r="T103" s="15">
        <f t="shared" si="1"/>
        <v>1.1620340243562331E-3</v>
      </c>
      <c r="V103" s="13">
        <v>0</v>
      </c>
      <c r="W103" s="15">
        <v>100000</v>
      </c>
      <c r="Y103">
        <v>0.5</v>
      </c>
    </row>
    <row r="104" spans="3:25" x14ac:dyDescent="0.25">
      <c r="C104" t="s">
        <v>221</v>
      </c>
      <c r="D104" t="s">
        <v>99</v>
      </c>
      <c r="E104" t="s">
        <v>222</v>
      </c>
      <c r="F104">
        <v>1</v>
      </c>
      <c r="G104">
        <v>149</v>
      </c>
      <c r="H104">
        <v>0</v>
      </c>
      <c r="I104">
        <v>149</v>
      </c>
      <c r="J104">
        <v>149</v>
      </c>
      <c r="K104" s="13">
        <v>1</v>
      </c>
      <c r="L104" s="13">
        <v>1</v>
      </c>
      <c r="M104" s="20"/>
      <c r="N104" s="20"/>
      <c r="O104" s="14">
        <v>6</v>
      </c>
      <c r="P104">
        <v>20.395271999999999</v>
      </c>
      <c r="Q104" s="20">
        <v>1</v>
      </c>
      <c r="R104">
        <v>1.1620000000000001E-3</v>
      </c>
      <c r="S104">
        <v>42.46250079</v>
      </c>
      <c r="T104" s="15">
        <f t="shared" si="1"/>
        <v>1.1620340243562331E-3</v>
      </c>
      <c r="V104" s="13">
        <v>0</v>
      </c>
      <c r="W104" s="15">
        <v>100000</v>
      </c>
      <c r="Y104">
        <v>0.43</v>
      </c>
    </row>
    <row r="105" spans="3:25" x14ac:dyDescent="0.25">
      <c r="C105" t="s">
        <v>223</v>
      </c>
      <c r="D105" t="s">
        <v>99</v>
      </c>
      <c r="E105" t="s">
        <v>222</v>
      </c>
      <c r="F105">
        <v>1</v>
      </c>
      <c r="G105">
        <v>16</v>
      </c>
      <c r="H105">
        <v>0</v>
      </c>
      <c r="I105">
        <v>16</v>
      </c>
      <c r="J105">
        <v>16</v>
      </c>
      <c r="K105" s="13">
        <v>1</v>
      </c>
      <c r="L105" s="13">
        <v>1</v>
      </c>
      <c r="M105" s="20"/>
      <c r="N105" s="20"/>
      <c r="O105" s="14">
        <v>6</v>
      </c>
      <c r="P105">
        <v>20.395271999999999</v>
      </c>
      <c r="Q105" s="20">
        <v>1</v>
      </c>
      <c r="R105">
        <v>1.1620000000000001E-3</v>
      </c>
      <c r="S105">
        <v>58.234286729999994</v>
      </c>
      <c r="T105" s="15">
        <f t="shared" si="1"/>
        <v>1.1620340243562331E-3</v>
      </c>
      <c r="V105" s="13">
        <v>0</v>
      </c>
      <c r="W105" s="15">
        <v>100000</v>
      </c>
      <c r="Y105">
        <v>0.59</v>
      </c>
    </row>
    <row r="106" spans="3:25" x14ac:dyDescent="0.25">
      <c r="C106" t="s">
        <v>224</v>
      </c>
      <c r="D106" t="s">
        <v>99</v>
      </c>
      <c r="E106" t="s">
        <v>222</v>
      </c>
      <c r="F106">
        <v>1</v>
      </c>
      <c r="G106">
        <v>126</v>
      </c>
      <c r="H106">
        <v>0</v>
      </c>
      <c r="I106">
        <v>126</v>
      </c>
      <c r="J106">
        <v>126</v>
      </c>
      <c r="K106" s="13">
        <v>1</v>
      </c>
      <c r="L106" s="13">
        <v>1</v>
      </c>
      <c r="M106" s="20"/>
      <c r="N106" s="20"/>
      <c r="O106" s="14">
        <v>6</v>
      </c>
      <c r="P106">
        <v>20.395271999999999</v>
      </c>
      <c r="Q106" s="20">
        <v>1</v>
      </c>
      <c r="R106">
        <v>1.1620000000000001E-3</v>
      </c>
      <c r="S106">
        <v>48.528570299999998</v>
      </c>
      <c r="T106" s="15">
        <f t="shared" si="1"/>
        <v>1.1620340243562331E-3</v>
      </c>
      <c r="V106" s="13">
        <v>0</v>
      </c>
      <c r="W106" s="15">
        <v>100000</v>
      </c>
      <c r="Y106">
        <v>0.49</v>
      </c>
    </row>
    <row r="107" spans="3:25" x14ac:dyDescent="0.25">
      <c r="C107" t="s">
        <v>225</v>
      </c>
      <c r="D107" t="s">
        <v>99</v>
      </c>
      <c r="E107" t="s">
        <v>222</v>
      </c>
      <c r="F107">
        <v>1</v>
      </c>
      <c r="G107">
        <v>786.1</v>
      </c>
      <c r="H107">
        <v>0</v>
      </c>
      <c r="I107">
        <v>786.1</v>
      </c>
      <c r="J107">
        <v>786.1</v>
      </c>
      <c r="K107" s="13">
        <v>1</v>
      </c>
      <c r="L107" s="13">
        <v>1</v>
      </c>
      <c r="M107" s="20"/>
      <c r="N107" s="20"/>
      <c r="O107" s="14">
        <v>6</v>
      </c>
      <c r="P107">
        <v>20.395271999999999</v>
      </c>
      <c r="Q107" s="20">
        <v>1</v>
      </c>
      <c r="R107">
        <v>1.1620000000000001E-3</v>
      </c>
      <c r="S107">
        <v>36.396428909999997</v>
      </c>
      <c r="T107" s="15">
        <f t="shared" si="1"/>
        <v>1.1620340243562331E-3</v>
      </c>
      <c r="V107" s="13">
        <v>0</v>
      </c>
      <c r="W107" s="15">
        <v>100000</v>
      </c>
      <c r="Y107">
        <v>0.37</v>
      </c>
    </row>
    <row r="108" spans="3:25" x14ac:dyDescent="0.25">
      <c r="C108" t="s">
        <v>226</v>
      </c>
      <c r="D108" t="s">
        <v>108</v>
      </c>
      <c r="E108" t="s">
        <v>222</v>
      </c>
      <c r="F108">
        <v>1</v>
      </c>
      <c r="G108">
        <v>1131.5999999999999</v>
      </c>
      <c r="H108">
        <v>0</v>
      </c>
      <c r="I108">
        <v>1131.5999999999999</v>
      </c>
      <c r="J108">
        <v>1131.5999999999999</v>
      </c>
      <c r="K108" s="13">
        <v>1</v>
      </c>
      <c r="L108" s="13">
        <v>1</v>
      </c>
      <c r="M108" s="20"/>
      <c r="N108" s="20"/>
      <c r="O108" s="14">
        <v>6</v>
      </c>
      <c r="P108">
        <v>64.972279999999998</v>
      </c>
      <c r="Q108" s="20">
        <v>1</v>
      </c>
      <c r="R108">
        <v>1.1620000000000001E-3</v>
      </c>
      <c r="S108">
        <v>158.36585550000001</v>
      </c>
      <c r="T108" s="15">
        <f t="shared" si="1"/>
        <v>1.1620340243562331E-3</v>
      </c>
      <c r="V108" s="13">
        <v>0</v>
      </c>
      <c r="W108" s="15">
        <v>100000</v>
      </c>
      <c r="Y108">
        <v>0.5</v>
      </c>
    </row>
    <row r="109" spans="3:25" x14ac:dyDescent="0.25">
      <c r="C109" t="s">
        <v>227</v>
      </c>
      <c r="D109" t="s">
        <v>108</v>
      </c>
      <c r="E109" t="s">
        <v>222</v>
      </c>
      <c r="F109">
        <v>1</v>
      </c>
      <c r="G109">
        <v>22.5</v>
      </c>
      <c r="H109">
        <v>0</v>
      </c>
      <c r="I109">
        <v>22.5</v>
      </c>
      <c r="J109">
        <v>22.5</v>
      </c>
      <c r="K109" s="13">
        <v>1</v>
      </c>
      <c r="L109" s="13">
        <v>1</v>
      </c>
      <c r="M109" s="20"/>
      <c r="N109" s="20"/>
      <c r="O109" s="14">
        <v>6</v>
      </c>
      <c r="P109">
        <v>64.972279999999998</v>
      </c>
      <c r="Q109" s="20">
        <v>1</v>
      </c>
      <c r="R109">
        <v>1.1620000000000001E-3</v>
      </c>
      <c r="S109">
        <v>185.51428894999998</v>
      </c>
      <c r="T109" s="15">
        <f t="shared" si="1"/>
        <v>1.1620340243562331E-3</v>
      </c>
      <c r="V109" s="13">
        <v>0</v>
      </c>
      <c r="W109" s="15">
        <v>100000</v>
      </c>
      <c r="Y109">
        <v>0.8</v>
      </c>
    </row>
    <row r="110" spans="3:25" x14ac:dyDescent="0.25">
      <c r="C110" t="s">
        <v>228</v>
      </c>
      <c r="D110" t="s">
        <v>99</v>
      </c>
      <c r="E110" t="s">
        <v>229</v>
      </c>
      <c r="F110">
        <v>1</v>
      </c>
      <c r="G110">
        <v>22.9</v>
      </c>
      <c r="H110">
        <v>0</v>
      </c>
      <c r="I110">
        <v>22.9</v>
      </c>
      <c r="J110">
        <v>22.9</v>
      </c>
      <c r="K110" s="13">
        <v>1</v>
      </c>
      <c r="L110" s="13">
        <v>1</v>
      </c>
      <c r="M110" s="20"/>
      <c r="N110" s="20"/>
      <c r="O110" s="14">
        <v>6</v>
      </c>
      <c r="P110">
        <v>20.395271999999999</v>
      </c>
      <c r="Q110" s="20">
        <v>1</v>
      </c>
      <c r="R110">
        <v>1.1620000000000001E-3</v>
      </c>
      <c r="S110">
        <v>49.712195700000002</v>
      </c>
      <c r="T110" s="15">
        <f t="shared" si="1"/>
        <v>1.1620340243562331E-3</v>
      </c>
      <c r="V110" s="13">
        <v>0</v>
      </c>
      <c r="W110" s="15">
        <v>100000</v>
      </c>
      <c r="Y110">
        <v>0.5</v>
      </c>
    </row>
    <row r="111" spans="3:25" x14ac:dyDescent="0.25">
      <c r="C111" t="s">
        <v>230</v>
      </c>
      <c r="D111" t="s">
        <v>99</v>
      </c>
      <c r="E111" t="s">
        <v>229</v>
      </c>
      <c r="F111">
        <v>1</v>
      </c>
      <c r="G111">
        <v>364.8</v>
      </c>
      <c r="H111">
        <v>0</v>
      </c>
      <c r="I111">
        <v>364.8</v>
      </c>
      <c r="J111">
        <v>364.8</v>
      </c>
      <c r="K111" s="13">
        <v>1</v>
      </c>
      <c r="L111" s="13">
        <v>1</v>
      </c>
      <c r="M111" s="20"/>
      <c r="N111" s="20"/>
      <c r="O111" s="14">
        <v>6</v>
      </c>
      <c r="P111">
        <v>20.395271999999999</v>
      </c>
      <c r="Q111" s="20">
        <v>1</v>
      </c>
      <c r="R111">
        <v>1.1620000000000001E-3</v>
      </c>
      <c r="S111">
        <v>42.46250079</v>
      </c>
      <c r="T111" s="15">
        <f t="shared" si="1"/>
        <v>1.1620340243562331E-3</v>
      </c>
      <c r="V111" s="13">
        <v>0</v>
      </c>
      <c r="W111" s="15">
        <v>100000</v>
      </c>
      <c r="Y111">
        <v>0.43</v>
      </c>
    </row>
    <row r="112" spans="3:25" x14ac:dyDescent="0.25">
      <c r="C112" t="s">
        <v>231</v>
      </c>
      <c r="D112" t="s">
        <v>99</v>
      </c>
      <c r="E112" t="s">
        <v>229</v>
      </c>
      <c r="F112">
        <v>1</v>
      </c>
      <c r="G112">
        <v>1140</v>
      </c>
      <c r="H112">
        <v>0</v>
      </c>
      <c r="I112">
        <v>1140</v>
      </c>
      <c r="J112">
        <v>1140</v>
      </c>
      <c r="K112" s="13">
        <v>1</v>
      </c>
      <c r="L112" s="13">
        <v>1</v>
      </c>
      <c r="M112" s="20"/>
      <c r="N112" s="20"/>
      <c r="O112" s="14">
        <v>6</v>
      </c>
      <c r="P112">
        <v>20.395271999999999</v>
      </c>
      <c r="Q112" s="20">
        <v>1</v>
      </c>
      <c r="R112">
        <v>1.1620000000000001E-3</v>
      </c>
      <c r="S112">
        <v>33.969999209999997</v>
      </c>
      <c r="T112" s="15">
        <f t="shared" si="1"/>
        <v>1.1620340243562331E-3</v>
      </c>
      <c r="V112" s="13">
        <v>0</v>
      </c>
      <c r="W112" s="15">
        <v>100000</v>
      </c>
      <c r="Y112">
        <v>0.34</v>
      </c>
    </row>
    <row r="113" spans="3:25" x14ac:dyDescent="0.25">
      <c r="C113" t="s">
        <v>232</v>
      </c>
      <c r="D113" t="s">
        <v>99</v>
      </c>
      <c r="E113" t="s">
        <v>229</v>
      </c>
      <c r="F113">
        <v>1</v>
      </c>
      <c r="G113">
        <v>783.8</v>
      </c>
      <c r="H113">
        <v>0</v>
      </c>
      <c r="I113">
        <v>783.8</v>
      </c>
      <c r="J113">
        <v>783.8</v>
      </c>
      <c r="K113" s="13">
        <v>1</v>
      </c>
      <c r="L113" s="13">
        <v>1</v>
      </c>
      <c r="M113" s="20"/>
      <c r="N113" s="20"/>
      <c r="O113" s="14">
        <v>6</v>
      </c>
      <c r="P113">
        <v>20.395271999999999</v>
      </c>
      <c r="Q113" s="20">
        <v>1</v>
      </c>
      <c r="R113">
        <v>1.1620000000000001E-3</v>
      </c>
      <c r="S113">
        <v>58.234286729999994</v>
      </c>
      <c r="T113" s="15">
        <f t="shared" si="1"/>
        <v>1.1620340243562331E-3</v>
      </c>
      <c r="V113" s="13">
        <v>0</v>
      </c>
      <c r="W113" s="15">
        <v>100000</v>
      </c>
      <c r="Y113">
        <v>0.59</v>
      </c>
    </row>
    <row r="114" spans="3:25" x14ac:dyDescent="0.25">
      <c r="C114" t="s">
        <v>233</v>
      </c>
      <c r="D114" t="s">
        <v>99</v>
      </c>
      <c r="E114" t="s">
        <v>229</v>
      </c>
      <c r="F114">
        <v>1</v>
      </c>
      <c r="G114">
        <v>1059</v>
      </c>
      <c r="H114">
        <v>0</v>
      </c>
      <c r="I114">
        <v>1059</v>
      </c>
      <c r="J114">
        <v>1059</v>
      </c>
      <c r="K114" s="13">
        <v>1</v>
      </c>
      <c r="L114" s="13">
        <v>1</v>
      </c>
      <c r="M114" s="20"/>
      <c r="N114" s="20"/>
      <c r="O114" s="14">
        <v>6</v>
      </c>
      <c r="P114">
        <v>20.395271999999999</v>
      </c>
      <c r="Q114" s="20">
        <v>1</v>
      </c>
      <c r="R114">
        <v>1.1620000000000001E-3</v>
      </c>
      <c r="S114">
        <v>48.528570299999998</v>
      </c>
      <c r="T114" s="15">
        <f t="shared" si="1"/>
        <v>1.1620340243562331E-3</v>
      </c>
      <c r="V114" s="13">
        <v>0</v>
      </c>
      <c r="W114" s="15">
        <v>100000</v>
      </c>
      <c r="Y114">
        <v>0.49</v>
      </c>
    </row>
    <row r="115" spans="3:25" x14ac:dyDescent="0.25">
      <c r="C115" t="s">
        <v>234</v>
      </c>
      <c r="D115" t="s">
        <v>99</v>
      </c>
      <c r="E115" t="s">
        <v>229</v>
      </c>
      <c r="F115">
        <v>1</v>
      </c>
      <c r="G115">
        <v>1275</v>
      </c>
      <c r="H115">
        <v>0</v>
      </c>
      <c r="I115">
        <v>1275</v>
      </c>
      <c r="J115">
        <v>1275</v>
      </c>
      <c r="K115" s="13">
        <v>1</v>
      </c>
      <c r="L115" s="13">
        <v>1</v>
      </c>
      <c r="M115" s="20"/>
      <c r="N115" s="20"/>
      <c r="O115" s="14">
        <v>6</v>
      </c>
      <c r="P115">
        <v>20.395271999999999</v>
      </c>
      <c r="Q115" s="20">
        <v>1</v>
      </c>
      <c r="R115">
        <v>1.1620000000000001E-3</v>
      </c>
      <c r="S115">
        <v>36.396428909999997</v>
      </c>
      <c r="T115" s="15">
        <f t="shared" si="1"/>
        <v>1.1620340243562331E-3</v>
      </c>
      <c r="V115" s="13">
        <v>0</v>
      </c>
      <c r="W115" s="15">
        <v>100000</v>
      </c>
      <c r="Y115">
        <v>0.37</v>
      </c>
    </row>
    <row r="116" spans="3:25" x14ac:dyDescent="0.25">
      <c r="C116" t="s">
        <v>235</v>
      </c>
      <c r="D116" t="s">
        <v>99</v>
      </c>
      <c r="E116" t="s">
        <v>229</v>
      </c>
      <c r="F116">
        <v>1</v>
      </c>
      <c r="G116">
        <v>2466.3000000000002</v>
      </c>
      <c r="H116">
        <v>0</v>
      </c>
      <c r="I116">
        <v>2466.3000000000002</v>
      </c>
      <c r="J116">
        <v>2466.3000000000002</v>
      </c>
      <c r="K116" s="13">
        <v>1</v>
      </c>
      <c r="L116" s="13">
        <v>1</v>
      </c>
      <c r="M116" s="20"/>
      <c r="N116" s="20"/>
      <c r="O116" s="14">
        <v>6</v>
      </c>
      <c r="P116">
        <v>20.395271999999999</v>
      </c>
      <c r="Q116" s="20">
        <v>1</v>
      </c>
      <c r="R116">
        <v>1.1620000000000001E-3</v>
      </c>
      <c r="S116">
        <v>35.141378819999993</v>
      </c>
      <c r="T116" s="15">
        <f t="shared" si="1"/>
        <v>1.1620340243562331E-3</v>
      </c>
      <c r="V116" s="13">
        <v>0</v>
      </c>
      <c r="W116" s="15">
        <v>100000</v>
      </c>
      <c r="Y116">
        <v>0.35</v>
      </c>
    </row>
    <row r="117" spans="3:25" x14ac:dyDescent="0.25">
      <c r="C117" t="s">
        <v>236</v>
      </c>
      <c r="D117" t="s">
        <v>108</v>
      </c>
      <c r="E117" t="s">
        <v>229</v>
      </c>
      <c r="F117">
        <v>1</v>
      </c>
      <c r="G117">
        <v>867.1</v>
      </c>
      <c r="H117">
        <v>0</v>
      </c>
      <c r="I117">
        <v>867.1</v>
      </c>
      <c r="J117">
        <v>867.1</v>
      </c>
      <c r="K117" s="13">
        <v>1</v>
      </c>
      <c r="L117" s="13">
        <v>1</v>
      </c>
      <c r="M117" s="20"/>
      <c r="N117" s="20"/>
      <c r="O117" s="14">
        <v>6</v>
      </c>
      <c r="P117">
        <v>64.972279999999998</v>
      </c>
      <c r="Q117" s="20">
        <v>1</v>
      </c>
      <c r="R117">
        <v>1.1620000000000001E-3</v>
      </c>
      <c r="S117">
        <v>158.36585550000001</v>
      </c>
      <c r="T117" s="15">
        <f t="shared" si="1"/>
        <v>1.1620340243562331E-3</v>
      </c>
      <c r="V117" s="13">
        <v>0</v>
      </c>
      <c r="W117" s="15">
        <v>100000</v>
      </c>
      <c r="Y117">
        <v>0.5</v>
      </c>
    </row>
    <row r="118" spans="3:25" x14ac:dyDescent="0.25">
      <c r="C118" t="s">
        <v>237</v>
      </c>
      <c r="D118" t="s">
        <v>108</v>
      </c>
      <c r="E118" t="s">
        <v>229</v>
      </c>
      <c r="F118">
        <v>1</v>
      </c>
      <c r="G118">
        <v>15.6</v>
      </c>
      <c r="H118">
        <v>0</v>
      </c>
      <c r="I118">
        <v>15.6</v>
      </c>
      <c r="J118">
        <v>15.6</v>
      </c>
      <c r="K118" s="13">
        <v>1</v>
      </c>
      <c r="L118" s="13">
        <v>1</v>
      </c>
      <c r="M118" s="20"/>
      <c r="N118" s="20"/>
      <c r="O118" s="14">
        <v>6</v>
      </c>
      <c r="P118">
        <v>64.972279999999998</v>
      </c>
      <c r="Q118" s="20">
        <v>1</v>
      </c>
      <c r="R118">
        <v>1.1620000000000001E-3</v>
      </c>
      <c r="S118">
        <v>223.89654859999999</v>
      </c>
      <c r="T118" s="15">
        <f t="shared" si="1"/>
        <v>1.1620340243562331E-3</v>
      </c>
      <c r="V118" s="13">
        <v>0</v>
      </c>
      <c r="W118" s="15">
        <v>100000</v>
      </c>
      <c r="Y118">
        <v>1.24</v>
      </c>
    </row>
    <row r="119" spans="3:25" x14ac:dyDescent="0.25">
      <c r="C119" t="s">
        <v>238</v>
      </c>
      <c r="D119" t="s">
        <v>99</v>
      </c>
      <c r="E119" t="s">
        <v>239</v>
      </c>
      <c r="F119">
        <v>1</v>
      </c>
      <c r="G119">
        <v>104.2</v>
      </c>
      <c r="H119">
        <v>0</v>
      </c>
      <c r="I119">
        <v>104.2</v>
      </c>
      <c r="J119">
        <v>104.2</v>
      </c>
      <c r="K119" s="13">
        <v>1</v>
      </c>
      <c r="L119" s="13">
        <v>1</v>
      </c>
      <c r="M119" s="20"/>
      <c r="N119" s="20"/>
      <c r="O119" s="14">
        <v>6</v>
      </c>
      <c r="P119">
        <v>20.395271999999999</v>
      </c>
      <c r="Q119" s="20">
        <v>1</v>
      </c>
      <c r="R119">
        <v>1.1620000000000001E-3</v>
      </c>
      <c r="S119">
        <v>56.616666929999994</v>
      </c>
      <c r="T119" s="15">
        <f t="shared" si="1"/>
        <v>1.1620340243562331E-3</v>
      </c>
      <c r="V119" s="13">
        <v>0</v>
      </c>
      <c r="W119" s="15">
        <v>100000</v>
      </c>
      <c r="Y119">
        <v>0.56999999999999995</v>
      </c>
    </row>
    <row r="120" spans="3:25" x14ac:dyDescent="0.25">
      <c r="C120" t="s">
        <v>240</v>
      </c>
      <c r="D120" t="s">
        <v>99</v>
      </c>
      <c r="E120" t="s">
        <v>239</v>
      </c>
      <c r="F120">
        <v>1</v>
      </c>
      <c r="G120">
        <v>3156.3</v>
      </c>
      <c r="H120">
        <v>0</v>
      </c>
      <c r="I120">
        <v>3156.3</v>
      </c>
      <c r="J120">
        <v>3156.3</v>
      </c>
      <c r="K120" s="13">
        <v>1</v>
      </c>
      <c r="L120" s="13">
        <v>1</v>
      </c>
      <c r="M120" s="20"/>
      <c r="N120" s="20"/>
      <c r="O120" s="14">
        <v>6</v>
      </c>
      <c r="P120">
        <v>20.395271999999999</v>
      </c>
      <c r="Q120" s="20">
        <v>1</v>
      </c>
      <c r="R120">
        <v>1.1620000000000001E-3</v>
      </c>
      <c r="S120">
        <v>49.712195700000002</v>
      </c>
      <c r="T120" s="15">
        <f t="shared" si="1"/>
        <v>1.1620340243562331E-3</v>
      </c>
      <c r="V120" s="13">
        <v>0</v>
      </c>
      <c r="W120" s="15">
        <v>100000</v>
      </c>
      <c r="Y120">
        <v>0.5</v>
      </c>
    </row>
    <row r="121" spans="3:25" x14ac:dyDescent="0.25">
      <c r="C121" t="s">
        <v>241</v>
      </c>
      <c r="D121" t="s">
        <v>99</v>
      </c>
      <c r="E121" t="s">
        <v>239</v>
      </c>
      <c r="F121">
        <v>1</v>
      </c>
      <c r="G121">
        <v>1792</v>
      </c>
      <c r="H121">
        <v>0</v>
      </c>
      <c r="I121">
        <v>1792</v>
      </c>
      <c r="J121">
        <v>1792</v>
      </c>
      <c r="K121" s="13">
        <v>1</v>
      </c>
      <c r="L121" s="13">
        <v>1</v>
      </c>
      <c r="M121" s="20"/>
      <c r="N121" s="20"/>
      <c r="O121" s="14">
        <v>6</v>
      </c>
      <c r="P121">
        <v>20.395271999999999</v>
      </c>
      <c r="Q121" s="20">
        <v>1</v>
      </c>
      <c r="R121">
        <v>1.1620000000000001E-3</v>
      </c>
      <c r="S121">
        <v>42.46250079</v>
      </c>
      <c r="T121" s="15">
        <f t="shared" si="1"/>
        <v>1.1620340243562331E-3</v>
      </c>
      <c r="V121" s="13">
        <v>0</v>
      </c>
      <c r="W121" s="15">
        <v>100000</v>
      </c>
      <c r="Y121">
        <v>0.43</v>
      </c>
    </row>
    <row r="122" spans="3:25" x14ac:dyDescent="0.25">
      <c r="C122" t="s">
        <v>242</v>
      </c>
      <c r="D122" t="s">
        <v>99</v>
      </c>
      <c r="E122" t="s">
        <v>239</v>
      </c>
      <c r="F122">
        <v>1</v>
      </c>
      <c r="G122">
        <v>11870.5</v>
      </c>
      <c r="H122">
        <v>0</v>
      </c>
      <c r="I122">
        <v>11870.5</v>
      </c>
      <c r="J122">
        <v>11870.5</v>
      </c>
      <c r="K122" s="13">
        <v>1</v>
      </c>
      <c r="L122" s="13">
        <v>1</v>
      </c>
      <c r="M122" s="20"/>
      <c r="N122" s="20"/>
      <c r="O122" s="14">
        <v>6</v>
      </c>
      <c r="P122">
        <v>20.395271999999999</v>
      </c>
      <c r="Q122" s="20">
        <v>1</v>
      </c>
      <c r="R122">
        <v>1.1620000000000001E-3</v>
      </c>
      <c r="S122">
        <v>33.969999209999997</v>
      </c>
      <c r="T122" s="15">
        <f t="shared" si="1"/>
        <v>1.1620340243562331E-3</v>
      </c>
      <c r="V122" s="13">
        <v>0</v>
      </c>
      <c r="W122" s="15">
        <v>100000</v>
      </c>
      <c r="Y122">
        <v>0.34</v>
      </c>
    </row>
    <row r="123" spans="3:25" x14ac:dyDescent="0.25">
      <c r="C123" t="s">
        <v>243</v>
      </c>
      <c r="D123" t="s">
        <v>99</v>
      </c>
      <c r="E123" t="s">
        <v>239</v>
      </c>
      <c r="F123">
        <v>1</v>
      </c>
      <c r="G123">
        <v>1057</v>
      </c>
      <c r="H123">
        <v>0</v>
      </c>
      <c r="I123">
        <v>1057</v>
      </c>
      <c r="J123">
        <v>1057</v>
      </c>
      <c r="K123" s="13">
        <v>1</v>
      </c>
      <c r="L123" s="13">
        <v>1</v>
      </c>
      <c r="M123" s="20"/>
      <c r="N123" s="20"/>
      <c r="O123" s="14">
        <v>6</v>
      </c>
      <c r="P123">
        <v>20.395271999999999</v>
      </c>
      <c r="Q123" s="20">
        <v>1</v>
      </c>
      <c r="R123">
        <v>1.1620000000000001E-3</v>
      </c>
      <c r="S123">
        <v>48.528570299999998</v>
      </c>
      <c r="T123" s="15">
        <f t="shared" si="1"/>
        <v>1.1620340243562331E-3</v>
      </c>
      <c r="V123" s="13">
        <v>0</v>
      </c>
      <c r="W123" s="15">
        <v>100000</v>
      </c>
      <c r="Y123">
        <v>0.49</v>
      </c>
    </row>
    <row r="124" spans="3:25" x14ac:dyDescent="0.25">
      <c r="C124" t="s">
        <v>244</v>
      </c>
      <c r="D124" t="s">
        <v>119</v>
      </c>
      <c r="E124" t="s">
        <v>239</v>
      </c>
      <c r="F124">
        <v>1</v>
      </c>
      <c r="G124">
        <v>15</v>
      </c>
      <c r="H124">
        <v>0</v>
      </c>
      <c r="I124">
        <v>15</v>
      </c>
      <c r="J124">
        <v>15</v>
      </c>
      <c r="K124" s="13">
        <v>1</v>
      </c>
      <c r="L124" s="13">
        <v>1</v>
      </c>
      <c r="M124" s="20"/>
      <c r="N124" s="20"/>
      <c r="O124" s="14">
        <v>6</v>
      </c>
      <c r="P124">
        <v>40.962656000000003</v>
      </c>
      <c r="Q124" s="20">
        <v>1</v>
      </c>
      <c r="R124">
        <v>1.1620000000000001E-3</v>
      </c>
      <c r="S124">
        <v>116.96000204000001</v>
      </c>
      <c r="T124" s="15">
        <f t="shared" si="1"/>
        <v>1.1620340243562331E-3</v>
      </c>
      <c r="V124" s="13">
        <v>0</v>
      </c>
      <c r="W124" s="15">
        <v>100000</v>
      </c>
      <c r="Y124">
        <v>0.8</v>
      </c>
    </row>
    <row r="125" spans="3:25" x14ac:dyDescent="0.25">
      <c r="C125" t="s">
        <v>245</v>
      </c>
      <c r="D125" t="s">
        <v>99</v>
      </c>
      <c r="E125" t="s">
        <v>239</v>
      </c>
      <c r="F125">
        <v>1</v>
      </c>
      <c r="G125">
        <v>5468.5</v>
      </c>
      <c r="H125">
        <v>0</v>
      </c>
      <c r="I125">
        <v>5468.5</v>
      </c>
      <c r="J125">
        <v>5468.5</v>
      </c>
      <c r="K125" s="13">
        <v>1</v>
      </c>
      <c r="L125" s="13">
        <v>1</v>
      </c>
      <c r="M125" s="20"/>
      <c r="N125" s="20"/>
      <c r="O125" s="14">
        <v>6</v>
      </c>
      <c r="P125">
        <v>20.395271999999999</v>
      </c>
      <c r="Q125" s="20">
        <v>1</v>
      </c>
      <c r="R125">
        <v>1.1620000000000001E-3</v>
      </c>
      <c r="S125">
        <v>36.396428909999997</v>
      </c>
      <c r="T125" s="15">
        <f t="shared" si="1"/>
        <v>1.1620340243562331E-3</v>
      </c>
      <c r="V125" s="13">
        <v>0</v>
      </c>
      <c r="W125" s="15">
        <v>100000</v>
      </c>
      <c r="Y125">
        <v>0.37</v>
      </c>
    </row>
    <row r="126" spans="3:25" x14ac:dyDescent="0.25">
      <c r="C126" t="s">
        <v>246</v>
      </c>
      <c r="D126" t="s">
        <v>99</v>
      </c>
      <c r="E126" t="s">
        <v>239</v>
      </c>
      <c r="F126">
        <v>1</v>
      </c>
      <c r="G126">
        <v>3938</v>
      </c>
      <c r="H126">
        <v>0</v>
      </c>
      <c r="I126">
        <v>3938</v>
      </c>
      <c r="J126">
        <v>3938</v>
      </c>
      <c r="K126" s="13">
        <v>1</v>
      </c>
      <c r="L126" s="13">
        <v>1</v>
      </c>
      <c r="M126" s="20"/>
      <c r="N126" s="20"/>
      <c r="O126" s="14">
        <v>6</v>
      </c>
      <c r="P126">
        <v>20.395271999999999</v>
      </c>
      <c r="Q126" s="20">
        <v>1</v>
      </c>
      <c r="R126">
        <v>1.1620000000000001E-3</v>
      </c>
      <c r="S126">
        <v>35.141378819999993</v>
      </c>
      <c r="T126" s="15">
        <f t="shared" si="1"/>
        <v>1.1620340243562331E-3</v>
      </c>
      <c r="V126" s="13">
        <v>0</v>
      </c>
      <c r="W126" s="15">
        <v>100000</v>
      </c>
      <c r="Y126">
        <v>0.35</v>
      </c>
    </row>
    <row r="127" spans="3:25" x14ac:dyDescent="0.25">
      <c r="C127" t="s">
        <v>247</v>
      </c>
      <c r="D127" t="s">
        <v>108</v>
      </c>
      <c r="E127" t="s">
        <v>239</v>
      </c>
      <c r="F127">
        <v>1</v>
      </c>
      <c r="G127">
        <v>889.5</v>
      </c>
      <c r="H127">
        <v>0</v>
      </c>
      <c r="I127">
        <v>889.5</v>
      </c>
      <c r="J127">
        <v>889.5</v>
      </c>
      <c r="K127" s="13">
        <v>1</v>
      </c>
      <c r="L127" s="13">
        <v>1</v>
      </c>
      <c r="M127" s="20"/>
      <c r="N127" s="20"/>
      <c r="O127" s="14">
        <v>6</v>
      </c>
      <c r="P127">
        <v>64.972279999999998</v>
      </c>
      <c r="Q127" s="20">
        <v>1</v>
      </c>
      <c r="R127">
        <v>1.1620000000000001E-3</v>
      </c>
      <c r="S127">
        <v>180.36111194999998</v>
      </c>
      <c r="T127" s="15">
        <f t="shared" si="1"/>
        <v>1.1620340243562331E-3</v>
      </c>
      <c r="V127" s="13">
        <v>0</v>
      </c>
      <c r="W127" s="15">
        <v>100000</v>
      </c>
      <c r="Y127">
        <v>0</v>
      </c>
    </row>
    <row r="128" spans="3:25" x14ac:dyDescent="0.25">
      <c r="C128" t="s">
        <v>248</v>
      </c>
      <c r="D128" t="s">
        <v>99</v>
      </c>
      <c r="E128" t="s">
        <v>249</v>
      </c>
      <c r="F128">
        <v>1</v>
      </c>
      <c r="G128">
        <v>3992</v>
      </c>
      <c r="H128">
        <v>0</v>
      </c>
      <c r="I128">
        <v>3992</v>
      </c>
      <c r="J128">
        <v>3992</v>
      </c>
      <c r="K128" s="13">
        <v>1</v>
      </c>
      <c r="L128" s="13">
        <v>1</v>
      </c>
      <c r="M128" s="20"/>
      <c r="N128" s="20"/>
      <c r="O128" s="14">
        <v>6</v>
      </c>
      <c r="P128">
        <v>20.395271999999999</v>
      </c>
      <c r="Q128" s="20">
        <v>1</v>
      </c>
      <c r="R128">
        <v>1.1620000000000001E-3</v>
      </c>
      <c r="S128">
        <v>33.969999209999997</v>
      </c>
      <c r="T128" s="15">
        <f t="shared" si="1"/>
        <v>1.1620340243562331E-3</v>
      </c>
      <c r="V128" s="13">
        <v>0</v>
      </c>
      <c r="W128" s="15">
        <v>100000</v>
      </c>
      <c r="Y128">
        <v>0.34</v>
      </c>
    </row>
    <row r="129" spans="3:25" x14ac:dyDescent="0.25">
      <c r="C129" t="s">
        <v>250</v>
      </c>
      <c r="D129" t="s">
        <v>99</v>
      </c>
      <c r="E129" t="s">
        <v>249</v>
      </c>
      <c r="F129">
        <v>1</v>
      </c>
      <c r="G129">
        <v>247.3</v>
      </c>
      <c r="H129">
        <v>0</v>
      </c>
      <c r="I129">
        <v>247.3</v>
      </c>
      <c r="J129">
        <v>247.3</v>
      </c>
      <c r="K129" s="13">
        <v>1</v>
      </c>
      <c r="L129" s="13">
        <v>1</v>
      </c>
      <c r="M129" s="20"/>
      <c r="N129" s="20"/>
      <c r="O129" s="14">
        <v>6</v>
      </c>
      <c r="P129">
        <v>20.395271999999999</v>
      </c>
      <c r="Q129" s="20">
        <v>1</v>
      </c>
      <c r="R129">
        <v>1.1620000000000001E-3</v>
      </c>
      <c r="S129">
        <v>58.234286729999994</v>
      </c>
      <c r="T129" s="15">
        <f t="shared" si="1"/>
        <v>1.1620340243562331E-3</v>
      </c>
      <c r="V129" s="13">
        <v>0</v>
      </c>
      <c r="W129" s="15">
        <v>100000</v>
      </c>
      <c r="Y129">
        <v>0.59</v>
      </c>
    </row>
    <row r="130" spans="3:25" x14ac:dyDescent="0.25">
      <c r="C130" t="s">
        <v>251</v>
      </c>
      <c r="D130" t="s">
        <v>99</v>
      </c>
      <c r="E130" t="s">
        <v>249</v>
      </c>
      <c r="F130">
        <v>1</v>
      </c>
      <c r="G130">
        <v>164</v>
      </c>
      <c r="H130">
        <v>0</v>
      </c>
      <c r="I130">
        <v>164</v>
      </c>
      <c r="J130">
        <v>164</v>
      </c>
      <c r="K130" s="13">
        <v>1</v>
      </c>
      <c r="L130" s="13">
        <v>1</v>
      </c>
      <c r="M130" s="20"/>
      <c r="N130" s="20"/>
      <c r="O130" s="14">
        <v>6</v>
      </c>
      <c r="P130">
        <v>20.395271999999999</v>
      </c>
      <c r="Q130" s="20">
        <v>1</v>
      </c>
      <c r="R130">
        <v>1.1620000000000001E-3</v>
      </c>
      <c r="S130">
        <v>48.528570299999998</v>
      </c>
      <c r="T130" s="15">
        <f t="shared" si="1"/>
        <v>1.1620340243562331E-3</v>
      </c>
      <c r="V130" s="13">
        <v>0</v>
      </c>
      <c r="W130" s="15">
        <v>100000</v>
      </c>
      <c r="Y130">
        <v>0.49</v>
      </c>
    </row>
    <row r="131" spans="3:25" x14ac:dyDescent="0.25">
      <c r="C131" t="s">
        <v>252</v>
      </c>
      <c r="D131" t="s">
        <v>108</v>
      </c>
      <c r="E131" t="s">
        <v>249</v>
      </c>
      <c r="F131">
        <v>1</v>
      </c>
      <c r="G131">
        <v>700.7</v>
      </c>
      <c r="H131">
        <v>0</v>
      </c>
      <c r="I131">
        <v>700.7</v>
      </c>
      <c r="J131">
        <v>700.7</v>
      </c>
      <c r="K131" s="13">
        <v>1</v>
      </c>
      <c r="L131" s="13">
        <v>1</v>
      </c>
      <c r="M131" s="20"/>
      <c r="N131" s="20"/>
      <c r="O131" s="14">
        <v>6</v>
      </c>
      <c r="P131">
        <v>64.972279999999998</v>
      </c>
      <c r="Q131" s="20">
        <v>1</v>
      </c>
      <c r="R131">
        <v>1.1620000000000001E-3</v>
      </c>
      <c r="S131">
        <v>180.36111194999998</v>
      </c>
      <c r="T131" s="15">
        <f t="shared" si="1"/>
        <v>1.1620340243562331E-3</v>
      </c>
      <c r="V131" s="13">
        <v>0</v>
      </c>
      <c r="W131" s="15">
        <v>100000</v>
      </c>
      <c r="Y131">
        <v>0</v>
      </c>
    </row>
    <row r="132" spans="3:25" x14ac:dyDescent="0.25">
      <c r="C132" t="s">
        <v>253</v>
      </c>
      <c r="D132" t="s">
        <v>108</v>
      </c>
      <c r="E132" t="s">
        <v>254</v>
      </c>
      <c r="F132">
        <v>1</v>
      </c>
      <c r="G132">
        <v>171</v>
      </c>
      <c r="H132">
        <v>0</v>
      </c>
      <c r="I132">
        <v>171</v>
      </c>
      <c r="J132">
        <v>171</v>
      </c>
      <c r="K132" s="13">
        <v>1</v>
      </c>
      <c r="L132" s="13">
        <v>1</v>
      </c>
      <c r="M132" s="20"/>
      <c r="N132" s="20"/>
      <c r="O132" s="14">
        <v>6</v>
      </c>
      <c r="P132">
        <v>64.972279999999998</v>
      </c>
      <c r="Q132" s="20">
        <v>1</v>
      </c>
      <c r="R132">
        <v>1.1620000000000001E-3</v>
      </c>
      <c r="S132">
        <v>162.32499999999999</v>
      </c>
      <c r="T132" s="15">
        <f t="shared" si="1"/>
        <v>1.1620340243562331E-3</v>
      </c>
      <c r="V132" s="13">
        <v>0</v>
      </c>
      <c r="W132" s="15">
        <v>100000</v>
      </c>
      <c r="Y132">
        <v>0.7</v>
      </c>
    </row>
    <row r="133" spans="3:25" x14ac:dyDescent="0.25">
      <c r="C133" t="s">
        <v>255</v>
      </c>
      <c r="D133" t="s">
        <v>108</v>
      </c>
      <c r="E133" t="s">
        <v>254</v>
      </c>
      <c r="F133">
        <v>1</v>
      </c>
      <c r="G133">
        <v>14</v>
      </c>
      <c r="H133">
        <v>0</v>
      </c>
      <c r="I133">
        <v>14</v>
      </c>
      <c r="J133">
        <v>14</v>
      </c>
      <c r="K133" s="13">
        <v>1</v>
      </c>
      <c r="L133" s="13">
        <v>1</v>
      </c>
      <c r="M133" s="20"/>
      <c r="N133" s="20"/>
      <c r="O133" s="14">
        <v>6</v>
      </c>
      <c r="P133">
        <v>64.972279999999998</v>
      </c>
      <c r="Q133" s="20">
        <v>1</v>
      </c>
      <c r="R133">
        <v>1.1620000000000001E-3</v>
      </c>
      <c r="S133">
        <v>158.36585550000001</v>
      </c>
      <c r="T133" s="15">
        <f t="shared" si="1"/>
        <v>1.1620340243562331E-3</v>
      </c>
      <c r="V133" s="13">
        <v>0</v>
      </c>
      <c r="W133" s="15">
        <v>100000</v>
      </c>
      <c r="Y133">
        <v>0.5</v>
      </c>
    </row>
    <row r="134" spans="3:25" x14ac:dyDescent="0.25">
      <c r="C134" t="s">
        <v>256</v>
      </c>
      <c r="D134" t="s">
        <v>99</v>
      </c>
      <c r="E134" t="s">
        <v>257</v>
      </c>
      <c r="F134">
        <v>1</v>
      </c>
      <c r="G134">
        <v>144.5</v>
      </c>
      <c r="H134">
        <v>0</v>
      </c>
      <c r="I134">
        <v>144.5</v>
      </c>
      <c r="J134">
        <v>144.5</v>
      </c>
      <c r="K134" s="13">
        <v>1</v>
      </c>
      <c r="L134" s="13">
        <v>1</v>
      </c>
      <c r="M134" s="20"/>
      <c r="N134" s="20"/>
      <c r="O134" s="14">
        <v>6</v>
      </c>
      <c r="P134">
        <v>20.395271999999999</v>
      </c>
      <c r="Q134" s="20">
        <v>1</v>
      </c>
      <c r="R134">
        <v>1.1620000000000001E-3</v>
      </c>
      <c r="S134">
        <v>42.46250079</v>
      </c>
      <c r="T134" s="15">
        <f t="shared" si="1"/>
        <v>1.1620340243562331E-3</v>
      </c>
      <c r="V134" s="13">
        <v>0</v>
      </c>
      <c r="W134" s="15">
        <v>100000</v>
      </c>
      <c r="Y134">
        <v>0.43</v>
      </c>
    </row>
    <row r="135" spans="3:25" x14ac:dyDescent="0.25">
      <c r="C135" t="s">
        <v>258</v>
      </c>
      <c r="D135" t="s">
        <v>99</v>
      </c>
      <c r="E135" t="s">
        <v>257</v>
      </c>
      <c r="F135">
        <v>1</v>
      </c>
      <c r="G135">
        <v>766</v>
      </c>
      <c r="H135">
        <v>0</v>
      </c>
      <c r="I135">
        <v>766</v>
      </c>
      <c r="J135">
        <v>766</v>
      </c>
      <c r="K135" s="13">
        <v>1</v>
      </c>
      <c r="L135" s="13">
        <v>1</v>
      </c>
      <c r="M135" s="20"/>
      <c r="N135" s="20"/>
      <c r="O135" s="14">
        <v>6</v>
      </c>
      <c r="P135">
        <v>20.395271999999999</v>
      </c>
      <c r="Q135" s="20">
        <v>1</v>
      </c>
      <c r="R135">
        <v>1.1620000000000001E-3</v>
      </c>
      <c r="S135">
        <v>33.969999209999997</v>
      </c>
      <c r="T135" s="15">
        <f t="shared" si="1"/>
        <v>1.1620340243562331E-3</v>
      </c>
      <c r="V135" s="13">
        <v>0</v>
      </c>
      <c r="W135" s="15">
        <v>100000</v>
      </c>
      <c r="Y135">
        <v>0.34</v>
      </c>
    </row>
    <row r="136" spans="3:25" x14ac:dyDescent="0.25">
      <c r="C136" t="s">
        <v>259</v>
      </c>
      <c r="D136" t="s">
        <v>99</v>
      </c>
      <c r="E136" t="s">
        <v>257</v>
      </c>
      <c r="F136">
        <v>1</v>
      </c>
      <c r="G136">
        <v>362</v>
      </c>
      <c r="H136">
        <v>0</v>
      </c>
      <c r="I136">
        <v>362</v>
      </c>
      <c r="J136">
        <v>362</v>
      </c>
      <c r="K136" s="13">
        <v>1</v>
      </c>
      <c r="L136" s="13">
        <v>1</v>
      </c>
      <c r="M136" s="20"/>
      <c r="N136" s="20"/>
      <c r="O136" s="14">
        <v>6</v>
      </c>
      <c r="P136">
        <v>20.395271999999999</v>
      </c>
      <c r="Q136" s="20">
        <v>1</v>
      </c>
      <c r="R136">
        <v>1.1620000000000001E-3</v>
      </c>
      <c r="S136">
        <v>58.234286729999994</v>
      </c>
      <c r="T136" s="15">
        <f t="shared" si="1"/>
        <v>1.1620340243562331E-3</v>
      </c>
      <c r="V136" s="13">
        <v>0</v>
      </c>
      <c r="W136" s="15">
        <v>100000</v>
      </c>
      <c r="Y136">
        <v>0.59</v>
      </c>
    </row>
    <row r="137" spans="3:25" x14ac:dyDescent="0.25">
      <c r="C137" t="s">
        <v>260</v>
      </c>
      <c r="D137" t="s">
        <v>99</v>
      </c>
      <c r="E137" t="s">
        <v>257</v>
      </c>
      <c r="F137">
        <v>1</v>
      </c>
      <c r="G137">
        <v>281.7</v>
      </c>
      <c r="H137">
        <v>0</v>
      </c>
      <c r="I137">
        <v>281.7</v>
      </c>
      <c r="J137">
        <v>281.7</v>
      </c>
      <c r="K137" s="13">
        <v>1</v>
      </c>
      <c r="L137" s="13">
        <v>1</v>
      </c>
      <c r="M137" s="20"/>
      <c r="N137" s="20"/>
      <c r="O137" s="14">
        <v>6</v>
      </c>
      <c r="P137">
        <v>20.395271999999999</v>
      </c>
      <c r="Q137" s="20">
        <v>1</v>
      </c>
      <c r="R137">
        <v>1.1620000000000001E-3</v>
      </c>
      <c r="S137">
        <v>48.528570299999998</v>
      </c>
      <c r="T137" s="15">
        <f t="shared" ref="T137:T200" si="2">1/860.56</f>
        <v>1.1620340243562331E-3</v>
      </c>
      <c r="V137" s="13">
        <v>0</v>
      </c>
      <c r="W137" s="15">
        <v>100000</v>
      </c>
      <c r="Y137">
        <v>0.49</v>
      </c>
    </row>
    <row r="138" spans="3:25" x14ac:dyDescent="0.25">
      <c r="C138" t="s">
        <v>261</v>
      </c>
      <c r="D138" t="s">
        <v>99</v>
      </c>
      <c r="E138" t="s">
        <v>257</v>
      </c>
      <c r="F138">
        <v>1</v>
      </c>
      <c r="G138">
        <v>756</v>
      </c>
      <c r="H138">
        <v>0</v>
      </c>
      <c r="I138">
        <v>756</v>
      </c>
      <c r="J138">
        <v>756</v>
      </c>
      <c r="K138" s="13">
        <v>1</v>
      </c>
      <c r="L138" s="13">
        <v>1</v>
      </c>
      <c r="M138" s="20"/>
      <c r="N138" s="20"/>
      <c r="O138" s="14">
        <v>6</v>
      </c>
      <c r="P138">
        <v>20.395271999999999</v>
      </c>
      <c r="Q138" s="20">
        <v>1</v>
      </c>
      <c r="R138">
        <v>1.1620000000000001E-3</v>
      </c>
      <c r="S138">
        <v>36.396428909999997</v>
      </c>
      <c r="T138" s="15">
        <f t="shared" si="2"/>
        <v>1.1620340243562331E-3</v>
      </c>
      <c r="V138" s="13">
        <v>0</v>
      </c>
      <c r="W138" s="15">
        <v>100000</v>
      </c>
      <c r="Y138">
        <v>0.37</v>
      </c>
    </row>
    <row r="139" spans="3:25" x14ac:dyDescent="0.25">
      <c r="C139" t="s">
        <v>262</v>
      </c>
      <c r="D139" t="s">
        <v>99</v>
      </c>
      <c r="E139" t="s">
        <v>257</v>
      </c>
      <c r="F139">
        <v>1</v>
      </c>
      <c r="G139">
        <v>445.6</v>
      </c>
      <c r="H139">
        <v>0</v>
      </c>
      <c r="I139">
        <v>445.6</v>
      </c>
      <c r="J139">
        <v>445.6</v>
      </c>
      <c r="K139" s="13">
        <v>1</v>
      </c>
      <c r="L139" s="13">
        <v>1</v>
      </c>
      <c r="M139" s="20"/>
      <c r="N139" s="20"/>
      <c r="O139" s="14">
        <v>6</v>
      </c>
      <c r="P139">
        <v>20.395271999999999</v>
      </c>
      <c r="Q139" s="20">
        <v>1</v>
      </c>
      <c r="R139">
        <v>1.1620000000000001E-3</v>
      </c>
      <c r="S139">
        <v>35.141378819999993</v>
      </c>
      <c r="T139" s="15">
        <f t="shared" si="2"/>
        <v>1.1620340243562331E-3</v>
      </c>
      <c r="V139" s="13">
        <v>0</v>
      </c>
      <c r="W139" s="15">
        <v>100000</v>
      </c>
      <c r="Y139">
        <v>0.35</v>
      </c>
    </row>
    <row r="140" spans="3:25" x14ac:dyDescent="0.25">
      <c r="C140" t="s">
        <v>263</v>
      </c>
      <c r="D140" t="s">
        <v>108</v>
      </c>
      <c r="E140" t="s">
        <v>257</v>
      </c>
      <c r="F140">
        <v>1</v>
      </c>
      <c r="G140">
        <v>1118.7</v>
      </c>
      <c r="H140">
        <v>0</v>
      </c>
      <c r="I140">
        <v>1118.7</v>
      </c>
      <c r="J140">
        <v>1118.7</v>
      </c>
      <c r="K140" s="13">
        <v>1</v>
      </c>
      <c r="L140" s="13">
        <v>1</v>
      </c>
      <c r="M140" s="20"/>
      <c r="N140" s="20"/>
      <c r="O140" s="14">
        <v>6</v>
      </c>
      <c r="P140">
        <v>64.972279999999998</v>
      </c>
      <c r="Q140" s="20">
        <v>1</v>
      </c>
      <c r="R140">
        <v>1.1620000000000001E-3</v>
      </c>
      <c r="S140">
        <v>158.36585550000001</v>
      </c>
      <c r="T140" s="15">
        <f t="shared" si="2"/>
        <v>1.1620340243562331E-3</v>
      </c>
      <c r="V140" s="13">
        <v>0</v>
      </c>
      <c r="W140" s="15">
        <v>100000</v>
      </c>
      <c r="Y140">
        <v>0.5</v>
      </c>
    </row>
    <row r="141" spans="3:25" x14ac:dyDescent="0.25">
      <c r="C141" t="s">
        <v>264</v>
      </c>
      <c r="D141" t="s">
        <v>108</v>
      </c>
      <c r="E141" t="s">
        <v>257</v>
      </c>
      <c r="F141">
        <v>1</v>
      </c>
      <c r="G141">
        <v>64</v>
      </c>
      <c r="H141">
        <v>0</v>
      </c>
      <c r="I141">
        <v>64</v>
      </c>
      <c r="J141">
        <v>64</v>
      </c>
      <c r="K141" s="13">
        <v>1</v>
      </c>
      <c r="L141" s="13">
        <v>1</v>
      </c>
      <c r="M141" s="20"/>
      <c r="N141" s="20"/>
      <c r="O141" s="14">
        <v>6</v>
      </c>
      <c r="P141">
        <v>64.972279999999998</v>
      </c>
      <c r="Q141" s="20">
        <v>1</v>
      </c>
      <c r="R141">
        <v>1.1620000000000001E-3</v>
      </c>
      <c r="S141">
        <v>162.32499999999999</v>
      </c>
      <c r="T141" s="15">
        <f t="shared" si="2"/>
        <v>1.1620340243562331E-3</v>
      </c>
      <c r="V141" s="13">
        <v>0</v>
      </c>
      <c r="W141" s="15">
        <v>100000</v>
      </c>
      <c r="Y141">
        <v>0.7</v>
      </c>
    </row>
    <row r="142" spans="3:25" x14ac:dyDescent="0.25">
      <c r="C142" t="s">
        <v>265</v>
      </c>
      <c r="D142" t="s">
        <v>99</v>
      </c>
      <c r="E142" t="s">
        <v>266</v>
      </c>
      <c r="F142">
        <v>1</v>
      </c>
      <c r="G142">
        <v>110</v>
      </c>
      <c r="H142">
        <v>0</v>
      </c>
      <c r="I142">
        <v>110</v>
      </c>
      <c r="J142">
        <v>110</v>
      </c>
      <c r="K142" s="13">
        <v>1</v>
      </c>
      <c r="L142" s="13">
        <v>1</v>
      </c>
      <c r="M142" s="20"/>
      <c r="N142" s="20"/>
      <c r="O142" s="14">
        <v>6</v>
      </c>
      <c r="P142">
        <v>20.395271999999999</v>
      </c>
      <c r="Q142" s="20">
        <v>1</v>
      </c>
      <c r="R142">
        <v>1.1620000000000001E-3</v>
      </c>
      <c r="S142">
        <v>49.712195700000002</v>
      </c>
      <c r="T142" s="15">
        <f t="shared" si="2"/>
        <v>1.1620340243562331E-3</v>
      </c>
      <c r="V142" s="13">
        <v>0</v>
      </c>
      <c r="W142" s="15">
        <v>100000</v>
      </c>
      <c r="Y142">
        <v>0.5</v>
      </c>
    </row>
    <row r="143" spans="3:25" x14ac:dyDescent="0.25">
      <c r="C143" t="s">
        <v>267</v>
      </c>
      <c r="D143" t="s">
        <v>99</v>
      </c>
      <c r="E143" t="s">
        <v>266</v>
      </c>
      <c r="F143">
        <v>1</v>
      </c>
      <c r="G143">
        <v>403</v>
      </c>
      <c r="H143">
        <v>0</v>
      </c>
      <c r="I143">
        <v>403</v>
      </c>
      <c r="J143">
        <v>403</v>
      </c>
      <c r="K143" s="13">
        <v>1</v>
      </c>
      <c r="L143" s="13">
        <v>1</v>
      </c>
      <c r="M143" s="20"/>
      <c r="N143" s="20"/>
      <c r="O143" s="14">
        <v>6</v>
      </c>
      <c r="P143">
        <v>20.395271999999999</v>
      </c>
      <c r="Q143" s="20">
        <v>1</v>
      </c>
      <c r="R143">
        <v>1.1620000000000001E-3</v>
      </c>
      <c r="S143">
        <v>35.141378819999993</v>
      </c>
      <c r="T143" s="15">
        <f t="shared" si="2"/>
        <v>1.1620340243562331E-3</v>
      </c>
      <c r="V143" s="13">
        <v>0</v>
      </c>
      <c r="W143" s="15">
        <v>100000</v>
      </c>
      <c r="Y143">
        <v>0.35</v>
      </c>
    </row>
    <row r="144" spans="3:25" x14ac:dyDescent="0.25">
      <c r="C144" t="s">
        <v>268</v>
      </c>
      <c r="D144" t="s">
        <v>108</v>
      </c>
      <c r="E144" t="s">
        <v>266</v>
      </c>
      <c r="F144">
        <v>1</v>
      </c>
      <c r="G144">
        <v>106.9</v>
      </c>
      <c r="H144">
        <v>0</v>
      </c>
      <c r="I144">
        <v>106.9</v>
      </c>
      <c r="J144">
        <v>106.9</v>
      </c>
      <c r="K144" s="13">
        <v>1</v>
      </c>
      <c r="L144" s="13">
        <v>1</v>
      </c>
      <c r="M144" s="20"/>
      <c r="N144" s="20"/>
      <c r="O144" s="14">
        <v>6</v>
      </c>
      <c r="P144">
        <v>64.972279999999998</v>
      </c>
      <c r="Q144" s="20">
        <v>1</v>
      </c>
      <c r="R144">
        <v>1.1620000000000001E-3</v>
      </c>
      <c r="S144">
        <v>158.36585550000001</v>
      </c>
      <c r="T144" s="15">
        <f t="shared" si="2"/>
        <v>1.1620340243562331E-3</v>
      </c>
      <c r="V144" s="13">
        <v>0</v>
      </c>
      <c r="W144" s="15">
        <v>100000</v>
      </c>
      <c r="Y144">
        <v>0.5</v>
      </c>
    </row>
    <row r="145" spans="3:25" x14ac:dyDescent="0.25">
      <c r="C145" t="s">
        <v>269</v>
      </c>
      <c r="D145" t="s">
        <v>105</v>
      </c>
      <c r="E145" t="s">
        <v>270</v>
      </c>
      <c r="F145">
        <v>1</v>
      </c>
      <c r="G145">
        <v>20</v>
      </c>
      <c r="H145">
        <v>0</v>
      </c>
      <c r="I145">
        <v>20</v>
      </c>
      <c r="J145">
        <v>20</v>
      </c>
      <c r="K145" s="13">
        <v>1</v>
      </c>
      <c r="L145" s="13">
        <v>1</v>
      </c>
      <c r="M145" s="20"/>
      <c r="N145" s="20"/>
      <c r="O145" s="14">
        <v>6</v>
      </c>
      <c r="P145">
        <v>54.473447999999991</v>
      </c>
      <c r="Q145" s="20">
        <v>1</v>
      </c>
      <c r="R145">
        <v>1.1620000000000001E-3</v>
      </c>
      <c r="S145">
        <v>90.729997889999993</v>
      </c>
      <c r="T145" s="15">
        <f t="shared" si="2"/>
        <v>1.1620340243562331E-3</v>
      </c>
      <c r="V145" s="13">
        <v>0</v>
      </c>
      <c r="W145" s="15">
        <v>100000</v>
      </c>
      <c r="Y145">
        <v>0</v>
      </c>
    </row>
    <row r="146" spans="3:25" x14ac:dyDescent="0.25">
      <c r="C146" t="s">
        <v>271</v>
      </c>
      <c r="D146" t="s">
        <v>108</v>
      </c>
      <c r="E146" t="s">
        <v>270</v>
      </c>
      <c r="F146">
        <v>1</v>
      </c>
      <c r="G146">
        <v>35</v>
      </c>
      <c r="H146">
        <v>0</v>
      </c>
      <c r="I146">
        <v>35</v>
      </c>
      <c r="J146">
        <v>35</v>
      </c>
      <c r="K146" s="13">
        <v>1</v>
      </c>
      <c r="L146" s="13">
        <v>1</v>
      </c>
      <c r="M146" s="20"/>
      <c r="N146" s="20"/>
      <c r="O146" s="14">
        <v>6</v>
      </c>
      <c r="P146">
        <v>64.972279999999998</v>
      </c>
      <c r="Q146" s="20">
        <v>1</v>
      </c>
      <c r="R146">
        <v>1.1620000000000001E-3</v>
      </c>
      <c r="S146">
        <v>185.51428894999998</v>
      </c>
      <c r="T146" s="15">
        <f t="shared" si="2"/>
        <v>1.1620340243562331E-3</v>
      </c>
      <c r="V146" s="13">
        <v>0</v>
      </c>
      <c r="W146" s="15">
        <v>100000</v>
      </c>
      <c r="Y146">
        <v>0.59</v>
      </c>
    </row>
    <row r="147" spans="3:25" x14ac:dyDescent="0.25">
      <c r="C147" t="s">
        <v>272</v>
      </c>
      <c r="D147" t="s">
        <v>99</v>
      </c>
      <c r="E147" t="s">
        <v>273</v>
      </c>
      <c r="F147">
        <v>1</v>
      </c>
      <c r="G147">
        <v>1004</v>
      </c>
      <c r="H147">
        <v>0</v>
      </c>
      <c r="I147">
        <v>1004</v>
      </c>
      <c r="J147">
        <v>1004</v>
      </c>
      <c r="K147" s="13">
        <v>1</v>
      </c>
      <c r="L147" s="13">
        <v>1</v>
      </c>
      <c r="M147" s="20"/>
      <c r="N147" s="20"/>
      <c r="O147" s="14">
        <v>6</v>
      </c>
      <c r="P147">
        <v>20.395271999999999</v>
      </c>
      <c r="Q147" s="20">
        <v>1</v>
      </c>
      <c r="R147">
        <v>1.1620000000000001E-3</v>
      </c>
      <c r="S147">
        <v>33.969999209999997</v>
      </c>
      <c r="T147" s="15">
        <f t="shared" si="2"/>
        <v>1.1620340243562331E-3</v>
      </c>
      <c r="V147" s="13">
        <v>0</v>
      </c>
      <c r="W147" s="15">
        <v>100000</v>
      </c>
      <c r="Y147">
        <v>0.34</v>
      </c>
    </row>
    <row r="148" spans="3:25" x14ac:dyDescent="0.25">
      <c r="C148" t="s">
        <v>274</v>
      </c>
      <c r="D148" t="s">
        <v>99</v>
      </c>
      <c r="E148" t="s">
        <v>273</v>
      </c>
      <c r="F148">
        <v>1</v>
      </c>
      <c r="G148">
        <v>73</v>
      </c>
      <c r="H148">
        <v>0</v>
      </c>
      <c r="I148">
        <v>73</v>
      </c>
      <c r="J148">
        <v>73</v>
      </c>
      <c r="K148" s="13">
        <v>1</v>
      </c>
      <c r="L148" s="13">
        <v>1</v>
      </c>
      <c r="M148" s="20"/>
      <c r="N148" s="20"/>
      <c r="O148" s="14">
        <v>6</v>
      </c>
      <c r="P148">
        <v>20.395271999999999</v>
      </c>
      <c r="Q148" s="20">
        <v>1</v>
      </c>
      <c r="R148">
        <v>1.1620000000000001E-3</v>
      </c>
      <c r="S148">
        <v>36.396428909999997</v>
      </c>
      <c r="T148" s="15">
        <f t="shared" si="2"/>
        <v>1.1620340243562331E-3</v>
      </c>
      <c r="V148" s="13">
        <v>0</v>
      </c>
      <c r="W148" s="15">
        <v>100000</v>
      </c>
      <c r="Y148">
        <v>0.37</v>
      </c>
    </row>
    <row r="149" spans="3:25" x14ac:dyDescent="0.25">
      <c r="C149" t="s">
        <v>275</v>
      </c>
      <c r="D149" t="s">
        <v>98</v>
      </c>
      <c r="E149" t="s">
        <v>276</v>
      </c>
      <c r="F149">
        <v>1</v>
      </c>
      <c r="G149">
        <v>225</v>
      </c>
      <c r="H149">
        <v>0</v>
      </c>
      <c r="I149">
        <v>225</v>
      </c>
      <c r="J149">
        <v>225</v>
      </c>
      <c r="K149" s="13">
        <v>1</v>
      </c>
      <c r="L149" s="13">
        <v>1</v>
      </c>
      <c r="M149" s="20"/>
      <c r="N149" s="20"/>
      <c r="O149" s="14">
        <v>6</v>
      </c>
      <c r="P149">
        <v>6.4541999999999993</v>
      </c>
      <c r="Q149" s="20">
        <v>1</v>
      </c>
      <c r="R149">
        <v>1.1620000000000001E-3</v>
      </c>
      <c r="S149">
        <v>14.021739</v>
      </c>
      <c r="T149" s="15">
        <f t="shared" si="2"/>
        <v>1.1620340243562331E-3</v>
      </c>
      <c r="V149" s="13">
        <v>0</v>
      </c>
      <c r="W149" s="15">
        <v>100000</v>
      </c>
      <c r="Y149">
        <v>0.79</v>
      </c>
    </row>
    <row r="150" spans="3:25" x14ac:dyDescent="0.25">
      <c r="C150" t="s">
        <v>277</v>
      </c>
      <c r="D150" t="s">
        <v>99</v>
      </c>
      <c r="E150" t="s">
        <v>278</v>
      </c>
      <c r="F150">
        <v>1</v>
      </c>
      <c r="G150">
        <v>60</v>
      </c>
      <c r="H150">
        <v>0</v>
      </c>
      <c r="I150">
        <v>60</v>
      </c>
      <c r="J150">
        <v>60</v>
      </c>
      <c r="K150" s="13">
        <v>1</v>
      </c>
      <c r="L150" s="13">
        <v>1</v>
      </c>
      <c r="M150" s="20"/>
      <c r="N150" s="20"/>
      <c r="O150" s="14">
        <v>6</v>
      </c>
      <c r="P150">
        <v>20.395271999999999</v>
      </c>
      <c r="Q150" s="20">
        <v>1</v>
      </c>
      <c r="R150">
        <v>1.1620000000000001E-3</v>
      </c>
      <c r="S150">
        <v>56.616666929999994</v>
      </c>
      <c r="T150" s="15">
        <f t="shared" si="2"/>
        <v>1.1620340243562331E-3</v>
      </c>
      <c r="V150" s="13">
        <v>0</v>
      </c>
      <c r="W150" s="15">
        <v>100000</v>
      </c>
      <c r="Y150">
        <v>0.56999999999999995</v>
      </c>
    </row>
    <row r="151" spans="3:25" x14ac:dyDescent="0.25">
      <c r="C151" t="s">
        <v>279</v>
      </c>
      <c r="D151" t="s">
        <v>99</v>
      </c>
      <c r="E151" t="s">
        <v>278</v>
      </c>
      <c r="F151">
        <v>1</v>
      </c>
      <c r="G151">
        <v>699.5</v>
      </c>
      <c r="H151">
        <v>0</v>
      </c>
      <c r="I151">
        <v>699.5</v>
      </c>
      <c r="J151">
        <v>699.5</v>
      </c>
      <c r="K151" s="13">
        <v>1</v>
      </c>
      <c r="L151" s="13">
        <v>1</v>
      </c>
      <c r="M151" s="20"/>
      <c r="N151" s="20"/>
      <c r="O151" s="14">
        <v>6</v>
      </c>
      <c r="P151">
        <v>20.395271999999999</v>
      </c>
      <c r="Q151" s="20">
        <v>1</v>
      </c>
      <c r="R151">
        <v>1.1620000000000001E-3</v>
      </c>
      <c r="S151">
        <v>33.969999209999997</v>
      </c>
      <c r="T151" s="15">
        <f t="shared" si="2"/>
        <v>1.1620340243562331E-3</v>
      </c>
      <c r="V151" s="13">
        <v>0</v>
      </c>
      <c r="W151" s="15">
        <v>100000</v>
      </c>
      <c r="Y151">
        <v>0.34</v>
      </c>
    </row>
    <row r="152" spans="3:25" x14ac:dyDescent="0.25">
      <c r="C152" t="s">
        <v>280</v>
      </c>
      <c r="D152" t="s">
        <v>99</v>
      </c>
      <c r="E152" t="s">
        <v>281</v>
      </c>
      <c r="F152">
        <v>1</v>
      </c>
      <c r="G152">
        <v>204</v>
      </c>
      <c r="H152">
        <v>0</v>
      </c>
      <c r="I152">
        <v>204</v>
      </c>
      <c r="J152">
        <v>204</v>
      </c>
      <c r="K152" s="13">
        <v>1</v>
      </c>
      <c r="L152" s="13">
        <v>1</v>
      </c>
      <c r="M152" s="20"/>
      <c r="N152" s="20"/>
      <c r="O152" s="14">
        <v>6</v>
      </c>
      <c r="P152">
        <v>20.395271999999999</v>
      </c>
      <c r="Q152" s="20">
        <v>1</v>
      </c>
      <c r="R152">
        <v>1.1620000000000001E-3</v>
      </c>
      <c r="S152">
        <v>42.46250079</v>
      </c>
      <c r="T152" s="15">
        <f t="shared" si="2"/>
        <v>1.1620340243562331E-3</v>
      </c>
      <c r="V152" s="13">
        <v>0</v>
      </c>
      <c r="W152" s="15">
        <v>100000</v>
      </c>
      <c r="Y152">
        <v>0.43</v>
      </c>
    </row>
    <row r="153" spans="3:25" x14ac:dyDescent="0.25">
      <c r="C153" t="s">
        <v>282</v>
      </c>
      <c r="D153" t="s">
        <v>99</v>
      </c>
      <c r="E153" t="s">
        <v>281</v>
      </c>
      <c r="F153">
        <v>1</v>
      </c>
      <c r="G153">
        <v>300</v>
      </c>
      <c r="H153">
        <v>0</v>
      </c>
      <c r="I153">
        <v>300</v>
      </c>
      <c r="J153">
        <v>300</v>
      </c>
      <c r="K153" s="13">
        <v>1</v>
      </c>
      <c r="L153" s="13">
        <v>1</v>
      </c>
      <c r="M153" s="20"/>
      <c r="N153" s="20"/>
      <c r="O153" s="14">
        <v>6</v>
      </c>
      <c r="P153">
        <v>20.395271999999999</v>
      </c>
      <c r="Q153" s="20">
        <v>1</v>
      </c>
      <c r="R153">
        <v>1.1620000000000001E-3</v>
      </c>
      <c r="S153">
        <v>35.141378819999993</v>
      </c>
      <c r="T153" s="15">
        <f t="shared" si="2"/>
        <v>1.1620340243562331E-3</v>
      </c>
      <c r="V153" s="13">
        <v>0</v>
      </c>
      <c r="W153" s="15">
        <v>100000</v>
      </c>
      <c r="Y153">
        <v>0.35</v>
      </c>
    </row>
    <row r="154" spans="3:25" x14ac:dyDescent="0.25">
      <c r="C154" t="s">
        <v>283</v>
      </c>
      <c r="D154" t="s">
        <v>99</v>
      </c>
      <c r="E154" t="s">
        <v>284</v>
      </c>
      <c r="F154">
        <v>1</v>
      </c>
      <c r="G154">
        <v>476</v>
      </c>
      <c r="H154">
        <v>0</v>
      </c>
      <c r="I154">
        <v>476</v>
      </c>
      <c r="J154">
        <v>476</v>
      </c>
      <c r="K154" s="13">
        <v>1</v>
      </c>
      <c r="L154" s="13">
        <v>1</v>
      </c>
      <c r="M154" s="20"/>
      <c r="N154" s="20"/>
      <c r="O154" s="14">
        <v>6</v>
      </c>
      <c r="P154">
        <v>20.395271999999999</v>
      </c>
      <c r="Q154" s="20">
        <v>1</v>
      </c>
      <c r="R154">
        <v>1.1620000000000001E-3</v>
      </c>
      <c r="S154">
        <v>42.46250079</v>
      </c>
      <c r="T154" s="15">
        <f t="shared" si="2"/>
        <v>1.1620340243562331E-3</v>
      </c>
      <c r="V154" s="13">
        <v>0</v>
      </c>
      <c r="W154" s="15">
        <v>100000</v>
      </c>
      <c r="Y154">
        <v>0.43</v>
      </c>
    </row>
    <row r="155" spans="3:25" x14ac:dyDescent="0.25">
      <c r="C155" t="s">
        <v>285</v>
      </c>
      <c r="D155" t="s">
        <v>99</v>
      </c>
      <c r="E155" t="s">
        <v>284</v>
      </c>
      <c r="F155">
        <v>1</v>
      </c>
      <c r="G155">
        <v>161</v>
      </c>
      <c r="H155">
        <v>0</v>
      </c>
      <c r="I155">
        <v>161</v>
      </c>
      <c r="J155">
        <v>161</v>
      </c>
      <c r="K155" s="13">
        <v>1</v>
      </c>
      <c r="L155" s="13">
        <v>1</v>
      </c>
      <c r="M155" s="20"/>
      <c r="N155" s="20"/>
      <c r="O155" s="14">
        <v>6</v>
      </c>
      <c r="P155">
        <v>20.395271999999999</v>
      </c>
      <c r="Q155" s="20">
        <v>1</v>
      </c>
      <c r="R155">
        <v>1.1620000000000001E-3</v>
      </c>
      <c r="S155">
        <v>58.234286729999994</v>
      </c>
      <c r="T155" s="15">
        <f t="shared" si="2"/>
        <v>1.1620340243562331E-3</v>
      </c>
      <c r="V155" s="13">
        <v>0</v>
      </c>
      <c r="W155" s="15">
        <v>100000</v>
      </c>
      <c r="Y155">
        <v>0.59</v>
      </c>
    </row>
    <row r="156" spans="3:25" x14ac:dyDescent="0.25">
      <c r="C156" t="s">
        <v>286</v>
      </c>
      <c r="D156" t="s">
        <v>99</v>
      </c>
      <c r="E156" t="s">
        <v>284</v>
      </c>
      <c r="F156">
        <v>1</v>
      </c>
      <c r="G156">
        <v>232</v>
      </c>
      <c r="H156">
        <v>0</v>
      </c>
      <c r="I156">
        <v>232</v>
      </c>
      <c r="J156">
        <v>232</v>
      </c>
      <c r="K156" s="13">
        <v>1</v>
      </c>
      <c r="L156" s="13">
        <v>1</v>
      </c>
      <c r="M156" s="20"/>
      <c r="N156" s="20"/>
      <c r="O156" s="14">
        <v>6</v>
      </c>
      <c r="P156">
        <v>20.395271999999999</v>
      </c>
      <c r="Q156" s="20">
        <v>1</v>
      </c>
      <c r="R156">
        <v>1.1620000000000001E-3</v>
      </c>
      <c r="S156">
        <v>48.528570299999998</v>
      </c>
      <c r="T156" s="15">
        <f t="shared" si="2"/>
        <v>1.1620340243562331E-3</v>
      </c>
      <c r="V156" s="13">
        <v>0</v>
      </c>
      <c r="W156" s="15">
        <v>100000</v>
      </c>
      <c r="Y156">
        <v>0.49</v>
      </c>
    </row>
    <row r="157" spans="3:25" x14ac:dyDescent="0.25">
      <c r="C157" t="s">
        <v>287</v>
      </c>
      <c r="D157" t="s">
        <v>99</v>
      </c>
      <c r="E157" t="s">
        <v>284</v>
      </c>
      <c r="F157">
        <v>1</v>
      </c>
      <c r="G157">
        <v>3044</v>
      </c>
      <c r="H157">
        <v>0</v>
      </c>
      <c r="I157">
        <v>3044</v>
      </c>
      <c r="J157">
        <v>3044</v>
      </c>
      <c r="K157" s="13">
        <v>1</v>
      </c>
      <c r="L157" s="13">
        <v>1</v>
      </c>
      <c r="M157" s="20"/>
      <c r="N157" s="20"/>
      <c r="O157" s="14">
        <v>6</v>
      </c>
      <c r="P157">
        <v>20.395271999999999</v>
      </c>
      <c r="Q157" s="20">
        <v>1</v>
      </c>
      <c r="R157">
        <v>1.1620000000000001E-3</v>
      </c>
      <c r="S157">
        <v>35.141378819999993</v>
      </c>
      <c r="T157" s="15">
        <f t="shared" si="2"/>
        <v>1.1620340243562331E-3</v>
      </c>
      <c r="V157" s="13">
        <v>0</v>
      </c>
      <c r="W157" s="15">
        <v>100000</v>
      </c>
      <c r="Y157">
        <v>0.35</v>
      </c>
    </row>
    <row r="158" spans="3:25" x14ac:dyDescent="0.25">
      <c r="C158" t="s">
        <v>288</v>
      </c>
      <c r="D158" t="s">
        <v>105</v>
      </c>
      <c r="E158" t="s">
        <v>284</v>
      </c>
      <c r="F158">
        <v>1</v>
      </c>
      <c r="G158">
        <v>9735</v>
      </c>
      <c r="H158">
        <v>0</v>
      </c>
      <c r="I158">
        <v>9735</v>
      </c>
      <c r="J158">
        <v>9735</v>
      </c>
      <c r="K158" s="13">
        <v>1</v>
      </c>
      <c r="L158" s="13">
        <v>1</v>
      </c>
      <c r="M158" s="20"/>
      <c r="N158" s="20"/>
      <c r="O158" s="14">
        <v>6</v>
      </c>
      <c r="P158">
        <v>54.473447999999991</v>
      </c>
      <c r="Q158" s="20">
        <v>1</v>
      </c>
      <c r="R158">
        <v>1.1620000000000001E-3</v>
      </c>
      <c r="S158">
        <v>90.729997889999993</v>
      </c>
      <c r="T158" s="15">
        <f t="shared" si="2"/>
        <v>1.1620340243562331E-3</v>
      </c>
      <c r="V158" s="13">
        <v>0</v>
      </c>
      <c r="W158" s="15">
        <v>100000</v>
      </c>
      <c r="Y158">
        <v>0</v>
      </c>
    </row>
    <row r="159" spans="3:25" x14ac:dyDescent="0.25">
      <c r="C159" t="s">
        <v>289</v>
      </c>
      <c r="D159" t="s">
        <v>108</v>
      </c>
      <c r="E159" t="s">
        <v>284</v>
      </c>
      <c r="F159">
        <v>1</v>
      </c>
      <c r="G159">
        <v>1163.2</v>
      </c>
      <c r="H159">
        <v>0</v>
      </c>
      <c r="I159">
        <v>1163.2</v>
      </c>
      <c r="J159">
        <v>1163.2</v>
      </c>
      <c r="K159" s="13">
        <v>1</v>
      </c>
      <c r="L159" s="13">
        <v>1</v>
      </c>
      <c r="M159" s="20"/>
      <c r="N159" s="20"/>
      <c r="O159" s="14">
        <v>6</v>
      </c>
      <c r="P159">
        <v>64.972279999999998</v>
      </c>
      <c r="Q159" s="20">
        <v>1</v>
      </c>
      <c r="R159">
        <v>1.1620000000000001E-3</v>
      </c>
      <c r="S159">
        <v>162.32499999999999</v>
      </c>
      <c r="T159" s="15">
        <f t="shared" si="2"/>
        <v>1.1620340243562331E-3</v>
      </c>
      <c r="V159" s="13">
        <v>0</v>
      </c>
      <c r="W159" s="15">
        <v>100000</v>
      </c>
      <c r="Y159">
        <v>0.51</v>
      </c>
    </row>
    <row r="160" spans="3:25" x14ac:dyDescent="0.25">
      <c r="C160" t="s">
        <v>290</v>
      </c>
      <c r="D160" t="s">
        <v>108</v>
      </c>
      <c r="E160" t="s">
        <v>284</v>
      </c>
      <c r="F160">
        <v>1</v>
      </c>
      <c r="G160">
        <v>98.1</v>
      </c>
      <c r="H160">
        <v>0</v>
      </c>
      <c r="I160">
        <v>98.1</v>
      </c>
      <c r="J160">
        <v>98.1</v>
      </c>
      <c r="K160" s="13">
        <v>1</v>
      </c>
      <c r="L160" s="13">
        <v>1</v>
      </c>
      <c r="M160" s="20"/>
      <c r="N160" s="20"/>
      <c r="O160" s="14">
        <v>6</v>
      </c>
      <c r="P160">
        <v>510.31207999999992</v>
      </c>
      <c r="Q160" s="20">
        <v>1</v>
      </c>
      <c r="R160">
        <v>1.1620000000000001E-3</v>
      </c>
      <c r="S160">
        <v>1274.95</v>
      </c>
      <c r="T160" s="15">
        <f t="shared" si="2"/>
        <v>1.1620340243562331E-3</v>
      </c>
      <c r="V160" s="13">
        <v>0</v>
      </c>
      <c r="W160" s="15">
        <v>100000</v>
      </c>
      <c r="Y160">
        <v>0.51</v>
      </c>
    </row>
    <row r="161" spans="3:25" x14ac:dyDescent="0.25">
      <c r="C161" t="s">
        <v>291</v>
      </c>
      <c r="D161" t="s">
        <v>108</v>
      </c>
      <c r="E161" t="s">
        <v>284</v>
      </c>
      <c r="F161">
        <v>1</v>
      </c>
      <c r="G161">
        <v>190.9</v>
      </c>
      <c r="H161">
        <v>0</v>
      </c>
      <c r="I161">
        <v>190.9</v>
      </c>
      <c r="J161">
        <v>190.9</v>
      </c>
      <c r="K161" s="13">
        <v>1</v>
      </c>
      <c r="L161" s="13">
        <v>1</v>
      </c>
      <c r="M161" s="20"/>
      <c r="N161" s="20"/>
      <c r="O161" s="14">
        <v>6</v>
      </c>
      <c r="P161">
        <v>200.16625599999998</v>
      </c>
      <c r="Q161" s="20">
        <v>1</v>
      </c>
      <c r="R161">
        <v>1.1620000000000001E-3</v>
      </c>
      <c r="S161">
        <v>500.09</v>
      </c>
      <c r="T161" s="15">
        <f t="shared" si="2"/>
        <v>1.1620340243562331E-3</v>
      </c>
      <c r="V161" s="13">
        <v>0</v>
      </c>
      <c r="W161" s="15">
        <v>100000</v>
      </c>
      <c r="Y161">
        <v>0.51</v>
      </c>
    </row>
    <row r="162" spans="3:25" x14ac:dyDescent="0.25">
      <c r="C162" t="s">
        <v>292</v>
      </c>
      <c r="D162" t="s">
        <v>108</v>
      </c>
      <c r="E162" t="s">
        <v>284</v>
      </c>
      <c r="F162">
        <v>1</v>
      </c>
      <c r="G162">
        <v>206.2</v>
      </c>
      <c r="H162">
        <v>0</v>
      </c>
      <c r="I162">
        <v>206.2</v>
      </c>
      <c r="J162">
        <v>206.2</v>
      </c>
      <c r="K162" s="13">
        <v>1</v>
      </c>
      <c r="L162" s="13">
        <v>1</v>
      </c>
      <c r="M162" s="20"/>
      <c r="N162" s="20"/>
      <c r="O162" s="14">
        <v>6</v>
      </c>
      <c r="P162">
        <v>520.38063199999999</v>
      </c>
      <c r="Q162" s="20">
        <v>1</v>
      </c>
      <c r="R162">
        <v>1.1620000000000001E-3</v>
      </c>
      <c r="S162">
        <v>1300.105</v>
      </c>
      <c r="T162" s="15">
        <f t="shared" si="2"/>
        <v>1.1620340243562331E-3</v>
      </c>
      <c r="V162" s="13">
        <v>0</v>
      </c>
      <c r="W162" s="15">
        <v>100000</v>
      </c>
      <c r="Y162">
        <v>0.51</v>
      </c>
    </row>
    <row r="163" spans="3:25" x14ac:dyDescent="0.25">
      <c r="C163" t="s">
        <v>293</v>
      </c>
      <c r="D163" t="s">
        <v>108</v>
      </c>
      <c r="E163" t="s">
        <v>284</v>
      </c>
      <c r="F163">
        <v>1</v>
      </c>
      <c r="G163">
        <v>64</v>
      </c>
      <c r="H163">
        <v>0</v>
      </c>
      <c r="I163">
        <v>64</v>
      </c>
      <c r="J163">
        <v>64</v>
      </c>
      <c r="K163" s="13">
        <v>1</v>
      </c>
      <c r="L163" s="13">
        <v>1</v>
      </c>
      <c r="M163" s="20"/>
      <c r="N163" s="20"/>
      <c r="O163" s="14">
        <v>6</v>
      </c>
      <c r="P163">
        <v>530.36312799999996</v>
      </c>
      <c r="Q163" s="20">
        <v>1</v>
      </c>
      <c r="R163">
        <v>1.1620000000000001E-3</v>
      </c>
      <c r="S163">
        <v>1325.0449999999998</v>
      </c>
      <c r="T163" s="15">
        <f t="shared" si="2"/>
        <v>1.1620340243562331E-3</v>
      </c>
      <c r="V163" s="13">
        <v>0</v>
      </c>
      <c r="W163" s="15">
        <v>100000</v>
      </c>
      <c r="Y163">
        <v>0.51</v>
      </c>
    </row>
    <row r="164" spans="3:25" x14ac:dyDescent="0.25">
      <c r="C164" t="s">
        <v>294</v>
      </c>
      <c r="D164" t="s">
        <v>108</v>
      </c>
      <c r="E164" t="s">
        <v>295</v>
      </c>
      <c r="F164">
        <v>1</v>
      </c>
      <c r="G164">
        <v>20</v>
      </c>
      <c r="H164">
        <v>0</v>
      </c>
      <c r="I164">
        <v>20</v>
      </c>
      <c r="J164">
        <v>20</v>
      </c>
      <c r="K164" s="13">
        <v>1</v>
      </c>
      <c r="L164" s="13">
        <v>1</v>
      </c>
      <c r="M164" s="20"/>
      <c r="N164" s="20"/>
      <c r="O164" s="14">
        <v>6</v>
      </c>
      <c r="P164">
        <v>64.972279999999998</v>
      </c>
      <c r="Q164" s="20">
        <v>1</v>
      </c>
      <c r="R164">
        <v>1.1620000000000001E-3</v>
      </c>
      <c r="S164">
        <v>180.36111194999998</v>
      </c>
      <c r="T164" s="15">
        <f t="shared" si="2"/>
        <v>1.1620340243562331E-3</v>
      </c>
      <c r="V164" s="13">
        <v>0</v>
      </c>
      <c r="W164" s="15">
        <v>100000</v>
      </c>
      <c r="Y164">
        <v>0.56999999999999995</v>
      </c>
    </row>
    <row r="165" spans="3:25" x14ac:dyDescent="0.25">
      <c r="C165" t="s">
        <v>296</v>
      </c>
      <c r="D165" t="s">
        <v>108</v>
      </c>
      <c r="E165" t="s">
        <v>297</v>
      </c>
      <c r="F165">
        <v>1</v>
      </c>
      <c r="G165">
        <v>195</v>
      </c>
      <c r="H165">
        <v>0</v>
      </c>
      <c r="I165">
        <v>195</v>
      </c>
      <c r="J165">
        <v>195</v>
      </c>
      <c r="K165" s="13">
        <v>1</v>
      </c>
      <c r="L165" s="13">
        <v>1</v>
      </c>
      <c r="M165" s="20"/>
      <c r="N165" s="20"/>
      <c r="O165" s="14">
        <v>6</v>
      </c>
      <c r="P165">
        <v>64.972279999999998</v>
      </c>
      <c r="Q165" s="20">
        <v>1</v>
      </c>
      <c r="R165">
        <v>1.1620000000000001E-3</v>
      </c>
      <c r="S165">
        <v>180.36111194999998</v>
      </c>
      <c r="T165" s="15">
        <f t="shared" si="2"/>
        <v>1.1620340243562331E-3</v>
      </c>
      <c r="V165" s="13">
        <v>0</v>
      </c>
      <c r="W165" s="15">
        <v>100000</v>
      </c>
      <c r="Y165">
        <v>0.56999999999999995</v>
      </c>
    </row>
    <row r="166" spans="3:25" x14ac:dyDescent="0.25">
      <c r="C166" t="s">
        <v>298</v>
      </c>
      <c r="D166" t="s">
        <v>108</v>
      </c>
      <c r="E166" t="s">
        <v>299</v>
      </c>
      <c r="F166">
        <v>1</v>
      </c>
      <c r="G166">
        <v>50</v>
      </c>
      <c r="H166">
        <v>0</v>
      </c>
      <c r="I166">
        <v>50</v>
      </c>
      <c r="J166">
        <v>50</v>
      </c>
      <c r="K166" s="13">
        <v>1</v>
      </c>
      <c r="L166" s="13">
        <v>1</v>
      </c>
      <c r="M166" s="20"/>
      <c r="N166" s="20"/>
      <c r="O166" s="14">
        <v>6</v>
      </c>
      <c r="P166">
        <v>64.972279999999998</v>
      </c>
      <c r="Q166" s="20">
        <v>1</v>
      </c>
      <c r="R166">
        <v>1.1620000000000001E-3</v>
      </c>
      <c r="S166">
        <v>180.36111194999998</v>
      </c>
      <c r="T166" s="15">
        <f t="shared" si="2"/>
        <v>1.1620340243562331E-3</v>
      </c>
      <c r="V166" s="13">
        <v>0</v>
      </c>
      <c r="W166" s="15">
        <v>100000</v>
      </c>
      <c r="Y166">
        <v>0.56999999999999995</v>
      </c>
    </row>
    <row r="167" spans="3:25" x14ac:dyDescent="0.25">
      <c r="C167" t="s">
        <v>300</v>
      </c>
      <c r="D167" t="s">
        <v>95</v>
      </c>
      <c r="E167" t="s">
        <v>301</v>
      </c>
      <c r="F167">
        <v>1</v>
      </c>
      <c r="G167">
        <v>4440</v>
      </c>
      <c r="H167">
        <v>0</v>
      </c>
      <c r="I167">
        <v>4440</v>
      </c>
      <c r="J167">
        <v>4440</v>
      </c>
      <c r="K167" s="13">
        <v>1</v>
      </c>
      <c r="L167" s="13">
        <v>1</v>
      </c>
      <c r="M167" s="20"/>
      <c r="N167" s="20"/>
      <c r="O167" s="14">
        <v>6</v>
      </c>
      <c r="P167">
        <v>6.0239199999999995</v>
      </c>
      <c r="Q167" s="20">
        <v>1</v>
      </c>
      <c r="R167">
        <v>1.1620000000000001E-3</v>
      </c>
      <c r="S167">
        <v>18.242424199999999</v>
      </c>
      <c r="T167" s="15">
        <f t="shared" si="2"/>
        <v>1.1620340243562331E-3</v>
      </c>
      <c r="V167" s="13">
        <v>0</v>
      </c>
      <c r="W167" s="15">
        <v>100000</v>
      </c>
      <c r="Y167">
        <v>0</v>
      </c>
    </row>
    <row r="168" spans="3:25" x14ac:dyDescent="0.25">
      <c r="C168" t="s">
        <v>302</v>
      </c>
      <c r="D168" t="s">
        <v>98</v>
      </c>
      <c r="E168" t="s">
        <v>301</v>
      </c>
      <c r="F168">
        <v>1</v>
      </c>
      <c r="G168">
        <v>1425</v>
      </c>
      <c r="H168">
        <v>0</v>
      </c>
      <c r="I168">
        <v>1425</v>
      </c>
      <c r="J168">
        <v>1425</v>
      </c>
      <c r="K168" s="13">
        <v>1</v>
      </c>
      <c r="L168" s="13">
        <v>1</v>
      </c>
      <c r="M168" s="20"/>
      <c r="N168" s="20"/>
      <c r="O168" s="14">
        <v>6</v>
      </c>
      <c r="P168">
        <v>5.9378639999999994</v>
      </c>
      <c r="Q168" s="20">
        <v>1</v>
      </c>
      <c r="R168">
        <v>1.1620000000000001E-3</v>
      </c>
      <c r="S168">
        <v>16.954286009999997</v>
      </c>
      <c r="T168" s="15">
        <f t="shared" si="2"/>
        <v>1.1620340243562331E-3</v>
      </c>
      <c r="V168" s="13">
        <v>0</v>
      </c>
      <c r="W168" s="15">
        <v>100000</v>
      </c>
      <c r="Y168">
        <v>0.97</v>
      </c>
    </row>
    <row r="169" spans="3:25" x14ac:dyDescent="0.25">
      <c r="C169" t="s">
        <v>303</v>
      </c>
      <c r="D169" t="s">
        <v>98</v>
      </c>
      <c r="E169" t="s">
        <v>301</v>
      </c>
      <c r="F169">
        <v>1</v>
      </c>
      <c r="G169">
        <v>2172</v>
      </c>
      <c r="H169">
        <v>0</v>
      </c>
      <c r="I169">
        <v>2172</v>
      </c>
      <c r="J169">
        <v>2172</v>
      </c>
      <c r="K169" s="13">
        <v>1</v>
      </c>
      <c r="L169" s="13">
        <v>1</v>
      </c>
      <c r="M169" s="20"/>
      <c r="N169" s="20"/>
      <c r="O169" s="14">
        <v>6</v>
      </c>
      <c r="P169">
        <v>5.9378639999999994</v>
      </c>
      <c r="Q169" s="20">
        <v>1</v>
      </c>
      <c r="R169">
        <v>1.1620000000000001E-3</v>
      </c>
      <c r="S169">
        <v>14.834999999999999</v>
      </c>
      <c r="T169" s="15">
        <f t="shared" si="2"/>
        <v>1.1620340243562331E-3</v>
      </c>
      <c r="V169" s="13">
        <v>0</v>
      </c>
      <c r="W169" s="15">
        <v>100000</v>
      </c>
      <c r="Y169">
        <v>0.85</v>
      </c>
    </row>
    <row r="170" spans="3:25" x14ac:dyDescent="0.25">
      <c r="C170" t="s">
        <v>304</v>
      </c>
      <c r="D170" t="s">
        <v>98</v>
      </c>
      <c r="E170" t="s">
        <v>301</v>
      </c>
      <c r="F170">
        <v>1</v>
      </c>
      <c r="G170">
        <v>1663</v>
      </c>
      <c r="H170">
        <v>0</v>
      </c>
      <c r="I170">
        <v>1663</v>
      </c>
      <c r="J170">
        <v>1663</v>
      </c>
      <c r="K170" s="13">
        <v>1</v>
      </c>
      <c r="L170" s="13">
        <v>1</v>
      </c>
      <c r="M170" s="20"/>
      <c r="N170" s="20"/>
      <c r="O170" s="14">
        <v>6</v>
      </c>
      <c r="P170">
        <v>5.9378639999999994</v>
      </c>
      <c r="Q170" s="20">
        <v>1</v>
      </c>
      <c r="R170">
        <v>1.1620000000000001E-3</v>
      </c>
      <c r="S170">
        <v>12.899999879999999</v>
      </c>
      <c r="T170" s="15">
        <f t="shared" si="2"/>
        <v>1.1620340243562331E-3</v>
      </c>
      <c r="V170" s="13">
        <v>0</v>
      </c>
      <c r="W170" s="15">
        <v>100000</v>
      </c>
      <c r="Y170">
        <v>0.74</v>
      </c>
    </row>
    <row r="171" spans="3:25" x14ac:dyDescent="0.25">
      <c r="C171" t="s">
        <v>305</v>
      </c>
      <c r="D171" t="s">
        <v>98</v>
      </c>
      <c r="E171" t="s">
        <v>301</v>
      </c>
      <c r="F171">
        <v>1</v>
      </c>
      <c r="G171">
        <v>237</v>
      </c>
      <c r="H171">
        <v>0</v>
      </c>
      <c r="I171">
        <v>237</v>
      </c>
      <c r="J171">
        <v>237</v>
      </c>
      <c r="K171" s="13">
        <v>1</v>
      </c>
      <c r="L171" s="13">
        <v>1</v>
      </c>
      <c r="M171" s="20"/>
      <c r="N171" s="20"/>
      <c r="O171" s="14">
        <v>6</v>
      </c>
      <c r="P171">
        <v>6.4541999999999993</v>
      </c>
      <c r="Q171" s="20">
        <v>1</v>
      </c>
      <c r="R171">
        <v>1.1620000000000001E-3</v>
      </c>
      <c r="S171">
        <v>18.42857175</v>
      </c>
      <c r="T171" s="15">
        <f t="shared" si="2"/>
        <v>1.1620340243562331E-3</v>
      </c>
      <c r="V171" s="13">
        <v>0</v>
      </c>
      <c r="W171" s="15">
        <v>100000</v>
      </c>
      <c r="Y171">
        <v>1.04</v>
      </c>
    </row>
    <row r="172" spans="3:25" x14ac:dyDescent="0.25">
      <c r="C172" t="s">
        <v>306</v>
      </c>
      <c r="D172" t="s">
        <v>98</v>
      </c>
      <c r="E172" t="s">
        <v>301</v>
      </c>
      <c r="F172">
        <v>1</v>
      </c>
      <c r="G172">
        <v>446</v>
      </c>
      <c r="H172">
        <v>0</v>
      </c>
      <c r="I172">
        <v>446</v>
      </c>
      <c r="J172">
        <v>446</v>
      </c>
      <c r="K172" s="13">
        <v>1</v>
      </c>
      <c r="L172" s="13">
        <v>1</v>
      </c>
      <c r="M172" s="20"/>
      <c r="N172" s="20"/>
      <c r="O172" s="14">
        <v>6</v>
      </c>
      <c r="P172">
        <v>6.4541999999999993</v>
      </c>
      <c r="Q172" s="20">
        <v>1</v>
      </c>
      <c r="R172">
        <v>1.1620000000000001E-3</v>
      </c>
      <c r="S172">
        <v>16.125</v>
      </c>
      <c r="T172" s="15">
        <f t="shared" si="2"/>
        <v>1.1620340243562331E-3</v>
      </c>
      <c r="V172" s="13">
        <v>0</v>
      </c>
      <c r="W172" s="15">
        <v>100000</v>
      </c>
      <c r="Y172">
        <v>0.91</v>
      </c>
    </row>
    <row r="173" spans="3:25" x14ac:dyDescent="0.25">
      <c r="C173" t="s">
        <v>307</v>
      </c>
      <c r="D173" t="s">
        <v>99</v>
      </c>
      <c r="E173" t="s">
        <v>301</v>
      </c>
      <c r="F173">
        <v>1</v>
      </c>
      <c r="G173">
        <v>9781.7000000000007</v>
      </c>
      <c r="H173">
        <v>0</v>
      </c>
      <c r="I173">
        <v>9781.7000000000007</v>
      </c>
      <c r="J173">
        <v>9781.7000000000007</v>
      </c>
      <c r="K173" s="13">
        <v>1</v>
      </c>
      <c r="L173" s="13">
        <v>1</v>
      </c>
      <c r="M173" s="20"/>
      <c r="N173" s="20"/>
      <c r="O173" s="14">
        <v>6</v>
      </c>
      <c r="P173">
        <v>20.395271999999999</v>
      </c>
      <c r="Q173" s="20">
        <v>1</v>
      </c>
      <c r="R173">
        <v>1.1620000000000001E-3</v>
      </c>
      <c r="S173">
        <v>33.969999209999997</v>
      </c>
      <c r="T173" s="15">
        <f t="shared" si="2"/>
        <v>1.1620340243562331E-3</v>
      </c>
      <c r="V173" s="13">
        <v>0</v>
      </c>
      <c r="W173" s="15">
        <v>100000</v>
      </c>
      <c r="Y173">
        <v>0.34</v>
      </c>
    </row>
    <row r="174" spans="3:25" x14ac:dyDescent="0.25">
      <c r="C174" t="s">
        <v>308</v>
      </c>
      <c r="D174" t="s">
        <v>105</v>
      </c>
      <c r="E174" t="s">
        <v>301</v>
      </c>
      <c r="F174">
        <v>1</v>
      </c>
      <c r="G174">
        <v>800</v>
      </c>
      <c r="H174">
        <v>0</v>
      </c>
      <c r="I174">
        <v>800</v>
      </c>
      <c r="J174">
        <v>800</v>
      </c>
      <c r="K174" s="13">
        <v>1</v>
      </c>
      <c r="L174" s="13">
        <v>1</v>
      </c>
      <c r="M174" s="20"/>
      <c r="N174" s="20"/>
      <c r="O174" s="14">
        <v>6</v>
      </c>
      <c r="P174">
        <v>54.473447999999991</v>
      </c>
      <c r="Q174" s="20">
        <v>1</v>
      </c>
      <c r="R174">
        <v>1.1620000000000001E-3</v>
      </c>
      <c r="S174">
        <v>90.729997889999993</v>
      </c>
      <c r="T174" s="15">
        <f t="shared" si="2"/>
        <v>1.1620340243562331E-3</v>
      </c>
      <c r="V174" s="13">
        <v>0</v>
      </c>
      <c r="W174" s="15">
        <v>100000</v>
      </c>
      <c r="Y174">
        <v>0</v>
      </c>
    </row>
    <row r="175" spans="3:25" x14ac:dyDescent="0.25">
      <c r="C175" t="s">
        <v>309</v>
      </c>
      <c r="D175" t="s">
        <v>108</v>
      </c>
      <c r="E175" t="s">
        <v>301</v>
      </c>
      <c r="F175">
        <v>1</v>
      </c>
      <c r="G175">
        <v>569.9</v>
      </c>
      <c r="H175">
        <v>0</v>
      </c>
      <c r="I175">
        <v>569.9</v>
      </c>
      <c r="J175">
        <v>569.9</v>
      </c>
      <c r="K175" s="13">
        <v>1</v>
      </c>
      <c r="L175" s="13">
        <v>1</v>
      </c>
      <c r="M175" s="20"/>
      <c r="N175" s="20"/>
      <c r="O175" s="14">
        <v>6</v>
      </c>
      <c r="P175">
        <v>64.972279999999998</v>
      </c>
      <c r="Q175" s="20">
        <v>1</v>
      </c>
      <c r="R175">
        <v>1.1620000000000001E-3</v>
      </c>
      <c r="S175">
        <v>111.94827429999999</v>
      </c>
      <c r="T175" s="15">
        <f t="shared" si="2"/>
        <v>1.1620340243562331E-3</v>
      </c>
      <c r="V175" s="13">
        <v>0</v>
      </c>
      <c r="W175" s="15">
        <v>100000</v>
      </c>
      <c r="Y175">
        <v>0.35</v>
      </c>
    </row>
    <row r="176" spans="3:25" x14ac:dyDescent="0.25">
      <c r="C176" t="s">
        <v>310</v>
      </c>
      <c r="D176" t="s">
        <v>108</v>
      </c>
      <c r="E176" t="s">
        <v>301</v>
      </c>
      <c r="F176">
        <v>1</v>
      </c>
      <c r="G176">
        <v>826.1</v>
      </c>
      <c r="H176">
        <v>0</v>
      </c>
      <c r="I176">
        <v>826.1</v>
      </c>
      <c r="J176">
        <v>826.1</v>
      </c>
      <c r="K176" s="13">
        <v>1</v>
      </c>
      <c r="L176" s="13">
        <v>1</v>
      </c>
      <c r="M176" s="20"/>
      <c r="N176" s="20"/>
      <c r="O176" s="14">
        <v>6</v>
      </c>
      <c r="P176">
        <v>79.773911999999996</v>
      </c>
      <c r="Q176" s="20">
        <v>1</v>
      </c>
      <c r="R176">
        <v>1.1620000000000001E-3</v>
      </c>
      <c r="S176">
        <v>137.45172221999999</v>
      </c>
      <c r="T176" s="15">
        <f t="shared" si="2"/>
        <v>1.1620340243562331E-3</v>
      </c>
      <c r="V176" s="13">
        <v>0</v>
      </c>
      <c r="W176" s="15">
        <v>100000</v>
      </c>
      <c r="Y176">
        <v>0.35</v>
      </c>
    </row>
    <row r="177" spans="3:25" x14ac:dyDescent="0.25">
      <c r="C177" t="s">
        <v>311</v>
      </c>
      <c r="D177" t="s">
        <v>108</v>
      </c>
      <c r="E177" t="s">
        <v>301</v>
      </c>
      <c r="F177">
        <v>1</v>
      </c>
      <c r="G177">
        <v>826.1</v>
      </c>
      <c r="H177">
        <v>0</v>
      </c>
      <c r="I177">
        <v>826.1</v>
      </c>
      <c r="J177">
        <v>826.1</v>
      </c>
      <c r="K177" s="13">
        <v>1</v>
      </c>
      <c r="L177" s="13">
        <v>1</v>
      </c>
      <c r="M177" s="20"/>
      <c r="N177" s="20"/>
      <c r="O177" s="14">
        <v>6</v>
      </c>
      <c r="P177">
        <v>79.773911999999996</v>
      </c>
      <c r="Q177" s="20">
        <v>1</v>
      </c>
      <c r="R177">
        <v>1.1620000000000001E-3</v>
      </c>
      <c r="S177">
        <v>137.45172221999999</v>
      </c>
      <c r="T177" s="15">
        <f t="shared" si="2"/>
        <v>1.1620340243562331E-3</v>
      </c>
      <c r="V177" s="13">
        <v>0</v>
      </c>
      <c r="W177" s="15">
        <v>100000</v>
      </c>
      <c r="Y177">
        <v>0.35</v>
      </c>
    </row>
    <row r="178" spans="3:25" x14ac:dyDescent="0.25">
      <c r="C178" t="s">
        <v>312</v>
      </c>
      <c r="D178" t="s">
        <v>108</v>
      </c>
      <c r="E178" t="s">
        <v>301</v>
      </c>
      <c r="F178">
        <v>1</v>
      </c>
      <c r="G178">
        <v>826.1</v>
      </c>
      <c r="H178">
        <v>0</v>
      </c>
      <c r="I178">
        <v>826.1</v>
      </c>
      <c r="J178">
        <v>826.1</v>
      </c>
      <c r="K178" s="13">
        <v>1</v>
      </c>
      <c r="L178" s="13">
        <v>1</v>
      </c>
      <c r="M178" s="20"/>
      <c r="N178" s="20"/>
      <c r="O178" s="14">
        <v>6</v>
      </c>
      <c r="P178">
        <v>79.773911999999996</v>
      </c>
      <c r="Q178" s="20">
        <v>1</v>
      </c>
      <c r="R178">
        <v>1.1620000000000001E-3</v>
      </c>
      <c r="S178">
        <v>137.45172221999999</v>
      </c>
      <c r="T178" s="15">
        <f t="shared" si="2"/>
        <v>1.1620340243562331E-3</v>
      </c>
      <c r="V178" s="13">
        <v>0</v>
      </c>
      <c r="W178" s="15">
        <v>100000</v>
      </c>
      <c r="Y178">
        <v>0.35</v>
      </c>
    </row>
    <row r="179" spans="3:25" x14ac:dyDescent="0.25">
      <c r="C179" t="s">
        <v>313</v>
      </c>
      <c r="D179" t="s">
        <v>108</v>
      </c>
      <c r="E179" t="s">
        <v>301</v>
      </c>
      <c r="F179">
        <v>1</v>
      </c>
      <c r="G179">
        <v>1134.0999999999999</v>
      </c>
      <c r="H179">
        <v>0</v>
      </c>
      <c r="I179">
        <v>1134.0999999999999</v>
      </c>
      <c r="J179">
        <v>1134.0999999999999</v>
      </c>
      <c r="K179" s="13">
        <v>1</v>
      </c>
      <c r="L179" s="13">
        <v>1</v>
      </c>
      <c r="M179" s="20"/>
      <c r="N179" s="20"/>
      <c r="O179" s="14">
        <v>6</v>
      </c>
      <c r="P179">
        <v>64.972279999999998</v>
      </c>
      <c r="Q179" s="20">
        <v>1</v>
      </c>
      <c r="R179">
        <v>1.1620000000000001E-3</v>
      </c>
      <c r="S179">
        <v>185.51428894999998</v>
      </c>
      <c r="T179" s="15">
        <f t="shared" si="2"/>
        <v>1.1620340243562331E-3</v>
      </c>
      <c r="V179" s="13">
        <v>0</v>
      </c>
      <c r="W179" s="15">
        <v>100000</v>
      </c>
      <c r="Y179">
        <v>0.97</v>
      </c>
    </row>
    <row r="180" spans="3:25" x14ac:dyDescent="0.25">
      <c r="C180" t="s">
        <v>314</v>
      </c>
      <c r="D180" t="s">
        <v>108</v>
      </c>
      <c r="E180" t="s">
        <v>301</v>
      </c>
      <c r="F180">
        <v>1</v>
      </c>
      <c r="G180">
        <v>1871.9</v>
      </c>
      <c r="H180">
        <v>0</v>
      </c>
      <c r="I180">
        <v>1871.9</v>
      </c>
      <c r="J180">
        <v>1871.9</v>
      </c>
      <c r="K180" s="13">
        <v>1</v>
      </c>
      <c r="L180" s="13">
        <v>1</v>
      </c>
      <c r="M180" s="20"/>
      <c r="N180" s="20"/>
      <c r="O180" s="14">
        <v>6</v>
      </c>
      <c r="P180">
        <v>93.284703999999991</v>
      </c>
      <c r="Q180" s="20">
        <v>1</v>
      </c>
      <c r="R180">
        <v>1.1620000000000001E-3</v>
      </c>
      <c r="S180">
        <v>266.35429035999999</v>
      </c>
      <c r="T180" s="15">
        <f t="shared" si="2"/>
        <v>1.1620340243562331E-3</v>
      </c>
      <c r="V180" s="13">
        <v>0</v>
      </c>
      <c r="W180" s="15">
        <v>100000</v>
      </c>
      <c r="Y180">
        <v>0.97</v>
      </c>
    </row>
    <row r="181" spans="3:25" x14ac:dyDescent="0.25">
      <c r="C181" t="s">
        <v>315</v>
      </c>
      <c r="D181" t="s">
        <v>108</v>
      </c>
      <c r="E181" t="s">
        <v>301</v>
      </c>
      <c r="F181">
        <v>1</v>
      </c>
      <c r="G181">
        <v>1871.9</v>
      </c>
      <c r="H181">
        <v>0</v>
      </c>
      <c r="I181">
        <v>1871.9</v>
      </c>
      <c r="J181">
        <v>1871.9</v>
      </c>
      <c r="K181" s="13">
        <v>1</v>
      </c>
      <c r="L181" s="13">
        <v>1</v>
      </c>
      <c r="M181" s="20"/>
      <c r="N181" s="20"/>
      <c r="O181" s="14">
        <v>6</v>
      </c>
      <c r="P181">
        <v>93.284703999999991</v>
      </c>
      <c r="Q181" s="20">
        <v>1</v>
      </c>
      <c r="R181">
        <v>1.1620000000000001E-3</v>
      </c>
      <c r="S181">
        <v>266.35429035999999</v>
      </c>
      <c r="T181" s="15">
        <f t="shared" si="2"/>
        <v>1.1620340243562331E-3</v>
      </c>
      <c r="V181" s="13">
        <v>0</v>
      </c>
      <c r="W181" s="15">
        <v>100000</v>
      </c>
      <c r="Y181">
        <v>0.97</v>
      </c>
    </row>
    <row r="182" spans="3:25" x14ac:dyDescent="0.25">
      <c r="C182" t="s">
        <v>316</v>
      </c>
      <c r="D182" t="s">
        <v>108</v>
      </c>
      <c r="E182" t="s">
        <v>301</v>
      </c>
      <c r="F182">
        <v>1</v>
      </c>
      <c r="G182">
        <v>1871.9</v>
      </c>
      <c r="H182">
        <v>0</v>
      </c>
      <c r="I182">
        <v>1871.9</v>
      </c>
      <c r="J182">
        <v>1871.9</v>
      </c>
      <c r="K182" s="13">
        <v>1</v>
      </c>
      <c r="L182" s="13">
        <v>1</v>
      </c>
      <c r="M182" s="20"/>
      <c r="N182" s="20"/>
      <c r="O182" s="14">
        <v>6</v>
      </c>
      <c r="P182">
        <v>93.284703999999991</v>
      </c>
      <c r="Q182" s="20">
        <v>1</v>
      </c>
      <c r="R182">
        <v>1.1620000000000001E-3</v>
      </c>
      <c r="S182">
        <v>266.35429035999999</v>
      </c>
      <c r="T182" s="15">
        <f t="shared" si="2"/>
        <v>1.1620340243562331E-3</v>
      </c>
      <c r="V182" s="13">
        <v>0</v>
      </c>
      <c r="W182" s="15">
        <v>100000</v>
      </c>
      <c r="Y182">
        <v>0.97</v>
      </c>
    </row>
    <row r="183" spans="3:25" x14ac:dyDescent="0.25">
      <c r="C183" t="s">
        <v>317</v>
      </c>
      <c r="D183" t="s">
        <v>99</v>
      </c>
      <c r="E183" t="s">
        <v>318</v>
      </c>
      <c r="F183">
        <v>1</v>
      </c>
      <c r="G183">
        <v>1663</v>
      </c>
      <c r="H183">
        <v>0</v>
      </c>
      <c r="I183">
        <v>1663</v>
      </c>
      <c r="J183">
        <v>1663</v>
      </c>
      <c r="K183" s="13">
        <v>1</v>
      </c>
      <c r="L183" s="13">
        <v>1</v>
      </c>
      <c r="M183" s="20"/>
      <c r="N183" s="20"/>
      <c r="O183" s="14">
        <v>6</v>
      </c>
      <c r="P183">
        <v>20.395271999999999</v>
      </c>
      <c r="Q183" s="20">
        <v>1</v>
      </c>
      <c r="R183">
        <v>1.1620000000000001E-3</v>
      </c>
      <c r="S183">
        <v>35.141378819999993</v>
      </c>
      <c r="T183" s="15">
        <f t="shared" si="2"/>
        <v>1.1620340243562331E-3</v>
      </c>
      <c r="V183" s="13">
        <v>0</v>
      </c>
      <c r="W183" s="15">
        <v>100000</v>
      </c>
      <c r="Y183">
        <v>0.35</v>
      </c>
    </row>
    <row r="184" spans="3:25" x14ac:dyDescent="0.25">
      <c r="C184" t="s">
        <v>319</v>
      </c>
      <c r="D184" t="s">
        <v>108</v>
      </c>
      <c r="E184" t="s">
        <v>318</v>
      </c>
      <c r="F184">
        <v>1</v>
      </c>
      <c r="G184">
        <v>332</v>
      </c>
      <c r="H184">
        <v>0</v>
      </c>
      <c r="I184">
        <v>332</v>
      </c>
      <c r="J184">
        <v>332</v>
      </c>
      <c r="K184" s="13">
        <v>1</v>
      </c>
      <c r="L184" s="13">
        <v>1</v>
      </c>
      <c r="M184" s="20"/>
      <c r="N184" s="20"/>
      <c r="O184" s="14">
        <v>6</v>
      </c>
      <c r="P184">
        <v>64.972279999999998</v>
      </c>
      <c r="Q184" s="20">
        <v>1</v>
      </c>
      <c r="R184">
        <v>1.1620000000000001E-3</v>
      </c>
      <c r="S184">
        <v>185.51428894999998</v>
      </c>
      <c r="T184" s="15">
        <f t="shared" si="2"/>
        <v>1.1620340243562331E-3</v>
      </c>
      <c r="V184" s="13">
        <v>0</v>
      </c>
      <c r="W184" s="15">
        <v>100000</v>
      </c>
      <c r="Y184">
        <v>0.59</v>
      </c>
    </row>
    <row r="185" spans="3:25" x14ac:dyDescent="0.25">
      <c r="C185" t="s">
        <v>320</v>
      </c>
      <c r="D185" t="s">
        <v>95</v>
      </c>
      <c r="E185" t="s">
        <v>321</v>
      </c>
      <c r="F185">
        <v>1</v>
      </c>
      <c r="G185">
        <v>3087</v>
      </c>
      <c r="H185">
        <v>0</v>
      </c>
      <c r="I185">
        <v>3087</v>
      </c>
      <c r="J185">
        <v>3087</v>
      </c>
      <c r="K185" s="13">
        <v>1</v>
      </c>
      <c r="L185" s="13">
        <v>1</v>
      </c>
      <c r="M185" s="20"/>
      <c r="N185" s="20"/>
      <c r="O185" s="14">
        <v>6</v>
      </c>
      <c r="P185">
        <v>6.0239199999999995</v>
      </c>
      <c r="Q185" s="20">
        <v>1</v>
      </c>
      <c r="R185">
        <v>1.1620000000000001E-3</v>
      </c>
      <c r="S185">
        <v>18.242424199999999</v>
      </c>
      <c r="T185" s="15">
        <f t="shared" si="2"/>
        <v>1.1620340243562331E-3</v>
      </c>
      <c r="V185" s="13">
        <v>0</v>
      </c>
      <c r="W185" s="15">
        <v>100000</v>
      </c>
      <c r="Y185">
        <v>0</v>
      </c>
    </row>
    <row r="186" spans="3:25" x14ac:dyDescent="0.25">
      <c r="C186" t="s">
        <v>322</v>
      </c>
      <c r="D186" t="s">
        <v>99</v>
      </c>
      <c r="E186" t="s">
        <v>321</v>
      </c>
      <c r="F186">
        <v>1</v>
      </c>
      <c r="G186">
        <v>308.89999999999998</v>
      </c>
      <c r="H186">
        <v>0</v>
      </c>
      <c r="I186">
        <v>308.89999999999998</v>
      </c>
      <c r="J186">
        <v>308.89999999999998</v>
      </c>
      <c r="K186" s="13">
        <v>1</v>
      </c>
      <c r="L186" s="13">
        <v>1</v>
      </c>
      <c r="M186" s="20"/>
      <c r="N186" s="20"/>
      <c r="O186" s="14">
        <v>6</v>
      </c>
      <c r="P186">
        <v>20.395271999999999</v>
      </c>
      <c r="Q186" s="20">
        <v>1</v>
      </c>
      <c r="R186">
        <v>1.1620000000000001E-3</v>
      </c>
      <c r="S186">
        <v>56.616666929999994</v>
      </c>
      <c r="T186" s="15">
        <f t="shared" si="2"/>
        <v>1.1620340243562331E-3</v>
      </c>
      <c r="V186" s="13">
        <v>0</v>
      </c>
      <c r="W186" s="15">
        <v>100000</v>
      </c>
      <c r="Y186">
        <v>0.56999999999999995</v>
      </c>
    </row>
    <row r="187" spans="3:25" x14ac:dyDescent="0.25">
      <c r="C187" t="s">
        <v>323</v>
      </c>
      <c r="D187" t="s">
        <v>99</v>
      </c>
      <c r="E187" t="s">
        <v>321</v>
      </c>
      <c r="F187">
        <v>1</v>
      </c>
      <c r="G187">
        <v>5531.1</v>
      </c>
      <c r="H187">
        <v>0</v>
      </c>
      <c r="I187">
        <v>5531.1</v>
      </c>
      <c r="J187">
        <v>5531.1</v>
      </c>
      <c r="K187" s="13">
        <v>1</v>
      </c>
      <c r="L187" s="13">
        <v>1</v>
      </c>
      <c r="M187" s="20"/>
      <c r="N187" s="20"/>
      <c r="O187" s="14">
        <v>6</v>
      </c>
      <c r="P187">
        <v>20.395271999999999</v>
      </c>
      <c r="Q187" s="20">
        <v>1</v>
      </c>
      <c r="R187">
        <v>1.1620000000000001E-3</v>
      </c>
      <c r="S187">
        <v>33.969999209999997</v>
      </c>
      <c r="T187" s="15">
        <f t="shared" si="2"/>
        <v>1.1620340243562331E-3</v>
      </c>
      <c r="V187" s="13">
        <v>0</v>
      </c>
      <c r="W187" s="15">
        <v>100000</v>
      </c>
      <c r="Y187">
        <v>0.34</v>
      </c>
    </row>
    <row r="188" spans="3:25" x14ac:dyDescent="0.25">
      <c r="C188" t="s">
        <v>324</v>
      </c>
      <c r="D188" t="s">
        <v>99</v>
      </c>
      <c r="E188" t="s">
        <v>321</v>
      </c>
      <c r="F188">
        <v>1</v>
      </c>
      <c r="G188">
        <v>166.8</v>
      </c>
      <c r="H188">
        <v>0</v>
      </c>
      <c r="I188">
        <v>166.8</v>
      </c>
      <c r="J188">
        <v>166.8</v>
      </c>
      <c r="K188" s="13">
        <v>1</v>
      </c>
      <c r="L188" s="13">
        <v>1</v>
      </c>
      <c r="M188" s="20"/>
      <c r="N188" s="20"/>
      <c r="O188" s="14">
        <v>6</v>
      </c>
      <c r="P188">
        <v>20.395271999999999</v>
      </c>
      <c r="Q188" s="20">
        <v>1</v>
      </c>
      <c r="R188">
        <v>1.1620000000000001E-3</v>
      </c>
      <c r="S188">
        <v>48.528570299999998</v>
      </c>
      <c r="T188" s="15">
        <f t="shared" si="2"/>
        <v>1.1620340243562331E-3</v>
      </c>
      <c r="V188" s="13">
        <v>0</v>
      </c>
      <c r="W188" s="15">
        <v>100000</v>
      </c>
      <c r="Y188">
        <v>0.49</v>
      </c>
    </row>
    <row r="189" spans="3:25" x14ac:dyDescent="0.25">
      <c r="C189" t="s">
        <v>325</v>
      </c>
      <c r="D189" t="s">
        <v>98</v>
      </c>
      <c r="E189" t="s">
        <v>326</v>
      </c>
      <c r="F189">
        <v>1</v>
      </c>
      <c r="G189">
        <v>3087.2</v>
      </c>
      <c r="H189">
        <v>0</v>
      </c>
      <c r="I189">
        <v>3087.2</v>
      </c>
      <c r="J189">
        <v>3087.2</v>
      </c>
      <c r="K189" s="13">
        <v>1</v>
      </c>
      <c r="L189" s="13">
        <v>1</v>
      </c>
      <c r="M189" s="20"/>
      <c r="N189" s="20"/>
      <c r="O189" s="14">
        <v>6</v>
      </c>
      <c r="P189">
        <v>6.4541999999999993</v>
      </c>
      <c r="Q189" s="20">
        <v>1</v>
      </c>
      <c r="R189">
        <v>1.1620000000000001E-3</v>
      </c>
      <c r="S189">
        <v>18.42857175</v>
      </c>
      <c r="T189" s="15">
        <f t="shared" si="2"/>
        <v>1.1620340243562331E-3</v>
      </c>
      <c r="V189" s="13">
        <v>0</v>
      </c>
      <c r="W189" s="15">
        <v>100000</v>
      </c>
      <c r="Y189">
        <v>1.04</v>
      </c>
    </row>
    <row r="190" spans="3:25" x14ac:dyDescent="0.25">
      <c r="C190" t="s">
        <v>327</v>
      </c>
      <c r="D190" t="s">
        <v>98</v>
      </c>
      <c r="E190" t="s">
        <v>326</v>
      </c>
      <c r="F190">
        <v>1</v>
      </c>
      <c r="G190">
        <v>610</v>
      </c>
      <c r="H190">
        <v>0</v>
      </c>
      <c r="I190">
        <v>610</v>
      </c>
      <c r="J190">
        <v>610</v>
      </c>
      <c r="K190" s="13">
        <v>1</v>
      </c>
      <c r="L190" s="13">
        <v>1</v>
      </c>
      <c r="M190" s="20"/>
      <c r="N190" s="20"/>
      <c r="O190" s="14">
        <v>6</v>
      </c>
      <c r="P190">
        <v>6.4541999999999993</v>
      </c>
      <c r="Q190" s="20">
        <v>1</v>
      </c>
      <c r="R190">
        <v>1.1620000000000001E-3</v>
      </c>
      <c r="S190">
        <v>16.125</v>
      </c>
      <c r="T190" s="15">
        <f t="shared" si="2"/>
        <v>1.1620340243562331E-3</v>
      </c>
      <c r="V190" s="13">
        <v>0</v>
      </c>
      <c r="W190" s="15">
        <v>100000</v>
      </c>
      <c r="Y190">
        <v>0.91</v>
      </c>
    </row>
    <row r="191" spans="3:25" x14ac:dyDescent="0.25">
      <c r="C191" t="s">
        <v>328</v>
      </c>
      <c r="D191" t="s">
        <v>98</v>
      </c>
      <c r="E191" t="s">
        <v>326</v>
      </c>
      <c r="F191">
        <v>1</v>
      </c>
      <c r="G191">
        <v>308</v>
      </c>
      <c r="H191">
        <v>0</v>
      </c>
      <c r="I191">
        <v>308</v>
      </c>
      <c r="J191">
        <v>308</v>
      </c>
      <c r="K191" s="13">
        <v>1</v>
      </c>
      <c r="L191" s="13">
        <v>1</v>
      </c>
      <c r="M191" s="20"/>
      <c r="N191" s="20"/>
      <c r="O191" s="14">
        <v>6</v>
      </c>
      <c r="P191">
        <v>6.4541999999999993</v>
      </c>
      <c r="Q191" s="20">
        <v>1</v>
      </c>
      <c r="R191">
        <v>1.1620000000000001E-3</v>
      </c>
      <c r="S191">
        <v>14.021739</v>
      </c>
      <c r="T191" s="15">
        <f t="shared" si="2"/>
        <v>1.1620340243562331E-3</v>
      </c>
      <c r="V191" s="13">
        <v>0</v>
      </c>
      <c r="W191" s="15">
        <v>100000</v>
      </c>
      <c r="Y191">
        <v>0.79</v>
      </c>
    </row>
    <row r="192" spans="3:25" x14ac:dyDescent="0.25">
      <c r="C192" t="s">
        <v>329</v>
      </c>
      <c r="D192" t="s">
        <v>99</v>
      </c>
      <c r="E192" t="s">
        <v>326</v>
      </c>
      <c r="F192">
        <v>1</v>
      </c>
      <c r="G192">
        <v>218</v>
      </c>
      <c r="H192">
        <v>0</v>
      </c>
      <c r="I192">
        <v>218</v>
      </c>
      <c r="J192">
        <v>218</v>
      </c>
      <c r="K192" s="13">
        <v>1</v>
      </c>
      <c r="L192" s="13">
        <v>1</v>
      </c>
      <c r="M192" s="20"/>
      <c r="N192" s="20"/>
      <c r="O192" s="14">
        <v>6</v>
      </c>
      <c r="P192">
        <v>20.395271999999999</v>
      </c>
      <c r="Q192" s="20">
        <v>1</v>
      </c>
      <c r="R192">
        <v>1.1620000000000001E-3</v>
      </c>
      <c r="S192">
        <v>56.616666929999994</v>
      </c>
      <c r="T192" s="15">
        <f t="shared" si="2"/>
        <v>1.1620340243562331E-3</v>
      </c>
      <c r="V192" s="13">
        <v>0</v>
      </c>
      <c r="W192" s="15">
        <v>100000</v>
      </c>
      <c r="Y192">
        <v>0.56999999999999995</v>
      </c>
    </row>
    <row r="193" spans="3:25" x14ac:dyDescent="0.25">
      <c r="C193" t="s">
        <v>330</v>
      </c>
      <c r="D193" t="s">
        <v>99</v>
      </c>
      <c r="E193" t="s">
        <v>326</v>
      </c>
      <c r="F193">
        <v>1</v>
      </c>
      <c r="G193">
        <v>182.9</v>
      </c>
      <c r="H193">
        <v>0</v>
      </c>
      <c r="I193">
        <v>182.9</v>
      </c>
      <c r="J193">
        <v>182.9</v>
      </c>
      <c r="K193" s="13">
        <v>1</v>
      </c>
      <c r="L193" s="13">
        <v>1</v>
      </c>
      <c r="M193" s="20"/>
      <c r="N193" s="20"/>
      <c r="O193" s="14">
        <v>6</v>
      </c>
      <c r="P193">
        <v>20.395271999999999</v>
      </c>
      <c r="Q193" s="20">
        <v>1</v>
      </c>
      <c r="R193">
        <v>1.1620000000000001E-3</v>
      </c>
      <c r="S193">
        <v>33.969999209999997</v>
      </c>
      <c r="T193" s="15">
        <f t="shared" si="2"/>
        <v>1.1620340243562331E-3</v>
      </c>
      <c r="V193" s="13">
        <v>0</v>
      </c>
      <c r="W193" s="15">
        <v>100000</v>
      </c>
      <c r="Y193">
        <v>0.34</v>
      </c>
    </row>
    <row r="194" spans="3:25" x14ac:dyDescent="0.25">
      <c r="C194" t="s">
        <v>331</v>
      </c>
      <c r="D194" t="s">
        <v>99</v>
      </c>
      <c r="E194" t="s">
        <v>332</v>
      </c>
      <c r="F194">
        <v>1</v>
      </c>
      <c r="G194">
        <v>97</v>
      </c>
      <c r="H194">
        <v>0</v>
      </c>
      <c r="I194">
        <v>97</v>
      </c>
      <c r="J194">
        <v>97</v>
      </c>
      <c r="K194" s="13">
        <v>1</v>
      </c>
      <c r="L194" s="13">
        <v>1</v>
      </c>
      <c r="M194" s="20"/>
      <c r="N194" s="20"/>
      <c r="O194" s="14">
        <v>6</v>
      </c>
      <c r="P194">
        <v>20.395271999999999</v>
      </c>
      <c r="Q194" s="20">
        <v>1</v>
      </c>
      <c r="R194">
        <v>1.1620000000000001E-3</v>
      </c>
      <c r="S194">
        <v>58.234286729999994</v>
      </c>
      <c r="T194" s="15">
        <f t="shared" si="2"/>
        <v>1.1620340243562331E-3</v>
      </c>
      <c r="V194" s="13">
        <v>0</v>
      </c>
      <c r="W194" s="15">
        <v>100000</v>
      </c>
      <c r="Y194">
        <v>0.59</v>
      </c>
    </row>
    <row r="195" spans="3:25" x14ac:dyDescent="0.25">
      <c r="C195" t="s">
        <v>333</v>
      </c>
      <c r="D195" t="s">
        <v>95</v>
      </c>
      <c r="E195" t="s">
        <v>334</v>
      </c>
      <c r="F195">
        <v>1</v>
      </c>
      <c r="G195">
        <v>5893</v>
      </c>
      <c r="H195">
        <v>0</v>
      </c>
      <c r="I195">
        <v>5893</v>
      </c>
      <c r="J195">
        <v>5893</v>
      </c>
      <c r="K195" s="13">
        <v>1</v>
      </c>
      <c r="L195" s="13">
        <v>1</v>
      </c>
      <c r="M195" s="20"/>
      <c r="N195" s="20"/>
      <c r="O195" s="14">
        <v>6</v>
      </c>
      <c r="P195">
        <v>6.0239199999999995</v>
      </c>
      <c r="Q195" s="20">
        <v>1</v>
      </c>
      <c r="R195">
        <v>1.1620000000000001E-3</v>
      </c>
      <c r="S195">
        <v>18.242424199999999</v>
      </c>
      <c r="T195" s="15">
        <f t="shared" si="2"/>
        <v>1.1620340243562331E-3</v>
      </c>
      <c r="V195" s="13">
        <v>0</v>
      </c>
      <c r="W195" s="15">
        <v>100000</v>
      </c>
      <c r="Y195">
        <v>0</v>
      </c>
    </row>
    <row r="196" spans="3:25" x14ac:dyDescent="0.25">
      <c r="C196" t="s">
        <v>335</v>
      </c>
      <c r="D196" t="s">
        <v>95</v>
      </c>
      <c r="E196" t="s">
        <v>336</v>
      </c>
      <c r="F196">
        <v>1</v>
      </c>
      <c r="G196">
        <v>696</v>
      </c>
      <c r="H196">
        <v>0</v>
      </c>
      <c r="I196">
        <v>696</v>
      </c>
      <c r="J196">
        <v>696</v>
      </c>
      <c r="K196" s="13">
        <v>1</v>
      </c>
      <c r="L196" s="13">
        <v>1</v>
      </c>
      <c r="M196" s="20"/>
      <c r="N196" s="20"/>
      <c r="O196" s="14">
        <v>6</v>
      </c>
      <c r="P196">
        <v>6.0239199999999995</v>
      </c>
      <c r="Q196" s="20">
        <v>1</v>
      </c>
      <c r="R196">
        <v>1.1620000000000001E-3</v>
      </c>
      <c r="S196">
        <v>18.242424199999999</v>
      </c>
      <c r="T196" s="15">
        <f t="shared" si="2"/>
        <v>1.1620340243562331E-3</v>
      </c>
      <c r="V196" s="13">
        <v>0</v>
      </c>
      <c r="W196" s="15">
        <v>100000</v>
      </c>
      <c r="Y196">
        <v>0</v>
      </c>
    </row>
    <row r="197" spans="3:25" x14ac:dyDescent="0.25">
      <c r="C197" t="s">
        <v>337</v>
      </c>
      <c r="D197" t="s">
        <v>98</v>
      </c>
      <c r="E197" t="s">
        <v>336</v>
      </c>
      <c r="F197">
        <v>1</v>
      </c>
      <c r="G197">
        <v>36</v>
      </c>
      <c r="H197">
        <v>0</v>
      </c>
      <c r="I197">
        <v>36</v>
      </c>
      <c r="J197">
        <v>36</v>
      </c>
      <c r="K197" s="13">
        <v>1</v>
      </c>
      <c r="L197" s="13">
        <v>1</v>
      </c>
      <c r="M197" s="20"/>
      <c r="N197" s="20"/>
      <c r="O197" s="14">
        <v>6</v>
      </c>
      <c r="P197">
        <v>5.9378639999999994</v>
      </c>
      <c r="Q197" s="20">
        <v>1</v>
      </c>
      <c r="R197">
        <v>1.1620000000000001E-3</v>
      </c>
      <c r="S197">
        <v>14.834999999999999</v>
      </c>
      <c r="T197" s="15">
        <f t="shared" si="2"/>
        <v>1.1620340243562331E-3</v>
      </c>
      <c r="V197" s="13">
        <v>0</v>
      </c>
      <c r="W197" s="15">
        <v>100000</v>
      </c>
      <c r="Y197">
        <v>0.85</v>
      </c>
    </row>
    <row r="198" spans="3:25" x14ac:dyDescent="0.25">
      <c r="C198" t="s">
        <v>338</v>
      </c>
      <c r="D198" t="s">
        <v>98</v>
      </c>
      <c r="E198" t="s">
        <v>336</v>
      </c>
      <c r="F198">
        <v>1</v>
      </c>
      <c r="G198">
        <v>539</v>
      </c>
      <c r="H198">
        <v>0</v>
      </c>
      <c r="I198">
        <v>539</v>
      </c>
      <c r="J198">
        <v>539</v>
      </c>
      <c r="K198" s="13">
        <v>1</v>
      </c>
      <c r="L198" s="13">
        <v>1</v>
      </c>
      <c r="M198" s="20"/>
      <c r="N198" s="20"/>
      <c r="O198" s="14">
        <v>6</v>
      </c>
      <c r="P198">
        <v>8.5195439999999998</v>
      </c>
      <c r="Q198" s="20">
        <v>1</v>
      </c>
      <c r="R198">
        <v>1.1620000000000001E-3</v>
      </c>
      <c r="S198">
        <v>21.285</v>
      </c>
      <c r="T198" s="15">
        <f t="shared" si="2"/>
        <v>1.1620340243562331E-3</v>
      </c>
      <c r="V198" s="13">
        <v>0</v>
      </c>
      <c r="W198" s="15">
        <v>100000</v>
      </c>
      <c r="Y198">
        <v>0.91</v>
      </c>
    </row>
    <row r="199" spans="3:25" x14ac:dyDescent="0.25">
      <c r="C199" t="s">
        <v>339</v>
      </c>
      <c r="D199" t="s">
        <v>99</v>
      </c>
      <c r="E199" t="s">
        <v>336</v>
      </c>
      <c r="F199">
        <v>1</v>
      </c>
      <c r="G199">
        <v>170</v>
      </c>
      <c r="H199">
        <v>0</v>
      </c>
      <c r="I199">
        <v>170</v>
      </c>
      <c r="J199">
        <v>170</v>
      </c>
      <c r="K199" s="13">
        <v>1</v>
      </c>
      <c r="L199" s="13">
        <v>1</v>
      </c>
      <c r="M199" s="20"/>
      <c r="N199" s="20"/>
      <c r="O199" s="14">
        <v>6</v>
      </c>
      <c r="P199">
        <v>20.395271999999999</v>
      </c>
      <c r="Q199" s="20">
        <v>1</v>
      </c>
      <c r="R199">
        <v>1.1620000000000001E-3</v>
      </c>
      <c r="S199">
        <v>33.969999209999997</v>
      </c>
      <c r="T199" s="15">
        <f t="shared" si="2"/>
        <v>1.1620340243562331E-3</v>
      </c>
      <c r="V199" s="13">
        <v>0</v>
      </c>
      <c r="W199" s="15">
        <v>100000</v>
      </c>
      <c r="Y199">
        <v>0.34</v>
      </c>
    </row>
    <row r="200" spans="3:25" x14ac:dyDescent="0.25">
      <c r="C200" t="s">
        <v>340</v>
      </c>
      <c r="D200" t="s">
        <v>99</v>
      </c>
      <c r="E200" t="s">
        <v>336</v>
      </c>
      <c r="F200">
        <v>1</v>
      </c>
      <c r="G200">
        <v>482</v>
      </c>
      <c r="H200">
        <v>0</v>
      </c>
      <c r="I200">
        <v>482</v>
      </c>
      <c r="J200">
        <v>482</v>
      </c>
      <c r="K200" s="13">
        <v>1</v>
      </c>
      <c r="L200" s="13">
        <v>1</v>
      </c>
      <c r="M200" s="20"/>
      <c r="N200" s="20"/>
      <c r="O200" s="14">
        <v>6</v>
      </c>
      <c r="P200">
        <v>20.395271999999999</v>
      </c>
      <c r="Q200" s="20">
        <v>1</v>
      </c>
      <c r="R200">
        <v>1.1620000000000001E-3</v>
      </c>
      <c r="S200">
        <v>58.234286729999994</v>
      </c>
      <c r="T200" s="15">
        <f t="shared" si="2"/>
        <v>1.1620340243562331E-3</v>
      </c>
      <c r="V200" s="13">
        <v>0</v>
      </c>
      <c r="W200" s="15">
        <v>100000</v>
      </c>
      <c r="Y200">
        <v>0.59</v>
      </c>
    </row>
    <row r="201" spans="3:25" x14ac:dyDescent="0.25">
      <c r="C201" t="s">
        <v>341</v>
      </c>
      <c r="D201" t="s">
        <v>108</v>
      </c>
      <c r="E201" t="s">
        <v>336</v>
      </c>
      <c r="F201">
        <v>1</v>
      </c>
      <c r="G201">
        <v>275.5</v>
      </c>
      <c r="H201">
        <v>0</v>
      </c>
      <c r="I201">
        <v>275.5</v>
      </c>
      <c r="J201">
        <v>275.5</v>
      </c>
      <c r="K201" s="13">
        <v>1</v>
      </c>
      <c r="L201" s="13">
        <v>1</v>
      </c>
      <c r="M201" s="20"/>
      <c r="N201" s="20"/>
      <c r="O201" s="14">
        <v>6</v>
      </c>
      <c r="P201">
        <v>65.316503999999995</v>
      </c>
      <c r="Q201" s="20">
        <v>1</v>
      </c>
      <c r="R201">
        <v>1.1620000000000001E-3</v>
      </c>
      <c r="S201">
        <v>127.98823454999999</v>
      </c>
      <c r="T201" s="15">
        <f t="shared" ref="T201:T256" si="3">1/860.56</f>
        <v>1.1620340243562331E-3</v>
      </c>
      <c r="V201" s="13">
        <v>0</v>
      </c>
      <c r="W201" s="15">
        <v>100000</v>
      </c>
      <c r="Y201">
        <v>0.04</v>
      </c>
    </row>
    <row r="202" spans="3:25" x14ac:dyDescent="0.25">
      <c r="C202" t="s">
        <v>342</v>
      </c>
      <c r="D202" t="s">
        <v>95</v>
      </c>
      <c r="E202" t="s">
        <v>343</v>
      </c>
      <c r="F202">
        <v>1</v>
      </c>
      <c r="G202">
        <v>2829.6</v>
      </c>
      <c r="H202">
        <v>0</v>
      </c>
      <c r="I202">
        <v>2829.6</v>
      </c>
      <c r="J202">
        <v>2829.6</v>
      </c>
      <c r="K202" s="13">
        <v>1</v>
      </c>
      <c r="L202" s="13">
        <v>1</v>
      </c>
      <c r="M202" s="20"/>
      <c r="N202" s="20"/>
      <c r="O202" s="14">
        <v>6</v>
      </c>
      <c r="P202">
        <v>6.0239199999999995</v>
      </c>
      <c r="Q202" s="20">
        <v>1</v>
      </c>
      <c r="R202">
        <v>1.1620000000000001E-3</v>
      </c>
      <c r="S202">
        <v>18.242424199999999</v>
      </c>
      <c r="T202" s="15">
        <f t="shared" si="3"/>
        <v>1.1620340243562331E-3</v>
      </c>
      <c r="V202" s="13">
        <v>0</v>
      </c>
      <c r="W202" s="15">
        <v>100000</v>
      </c>
      <c r="Y202">
        <v>0</v>
      </c>
    </row>
    <row r="203" spans="3:25" x14ac:dyDescent="0.25">
      <c r="C203" t="s">
        <v>344</v>
      </c>
      <c r="D203" t="s">
        <v>98</v>
      </c>
      <c r="E203" t="s">
        <v>343</v>
      </c>
      <c r="F203">
        <v>1</v>
      </c>
      <c r="G203">
        <v>27.1</v>
      </c>
      <c r="H203">
        <v>0</v>
      </c>
      <c r="I203">
        <v>27.1</v>
      </c>
      <c r="J203">
        <v>27.1</v>
      </c>
      <c r="K203" s="13">
        <v>1</v>
      </c>
      <c r="L203" s="13">
        <v>1</v>
      </c>
      <c r="M203" s="20"/>
      <c r="N203" s="20"/>
      <c r="O203" s="14">
        <v>6</v>
      </c>
      <c r="P203">
        <v>5.9378639999999994</v>
      </c>
      <c r="Q203" s="20">
        <v>1</v>
      </c>
      <c r="R203">
        <v>1.1620000000000001E-3</v>
      </c>
      <c r="S203">
        <v>16.954286009999997</v>
      </c>
      <c r="T203" s="15">
        <f t="shared" si="3"/>
        <v>1.1620340243562331E-3</v>
      </c>
      <c r="V203" s="13">
        <v>0</v>
      </c>
      <c r="W203" s="15">
        <v>100000</v>
      </c>
      <c r="Y203">
        <v>0.97</v>
      </c>
    </row>
    <row r="204" spans="3:25" x14ac:dyDescent="0.25">
      <c r="C204" t="s">
        <v>345</v>
      </c>
      <c r="D204" t="s">
        <v>98</v>
      </c>
      <c r="E204" t="s">
        <v>343</v>
      </c>
      <c r="F204">
        <v>1</v>
      </c>
      <c r="G204">
        <v>263.39999999999998</v>
      </c>
      <c r="H204">
        <v>0</v>
      </c>
      <c r="I204">
        <v>263.39999999999998</v>
      </c>
      <c r="J204">
        <v>263.39999999999998</v>
      </c>
      <c r="K204" s="13">
        <v>1</v>
      </c>
      <c r="L204" s="13">
        <v>1</v>
      </c>
      <c r="M204" s="20"/>
      <c r="N204" s="20"/>
      <c r="O204" s="14">
        <v>6</v>
      </c>
      <c r="P204">
        <v>5.9378639999999994</v>
      </c>
      <c r="Q204" s="20">
        <v>1</v>
      </c>
      <c r="R204">
        <v>1.1620000000000001E-3</v>
      </c>
      <c r="S204">
        <v>12.899999879999999</v>
      </c>
      <c r="T204" s="15">
        <f t="shared" si="3"/>
        <v>1.1620340243562331E-3</v>
      </c>
      <c r="V204" s="13">
        <v>0</v>
      </c>
      <c r="W204" s="15">
        <v>100000</v>
      </c>
      <c r="Y204">
        <v>0.74</v>
      </c>
    </row>
    <row r="205" spans="3:25" x14ac:dyDescent="0.25">
      <c r="C205" t="s">
        <v>346</v>
      </c>
      <c r="D205" t="s">
        <v>98</v>
      </c>
      <c r="E205" t="s">
        <v>343</v>
      </c>
      <c r="F205">
        <v>1</v>
      </c>
      <c r="G205">
        <v>18.5</v>
      </c>
      <c r="H205">
        <v>0</v>
      </c>
      <c r="I205">
        <v>18.5</v>
      </c>
      <c r="J205">
        <v>18.5</v>
      </c>
      <c r="K205" s="13">
        <v>1</v>
      </c>
      <c r="L205" s="13">
        <v>1</v>
      </c>
      <c r="M205" s="20"/>
      <c r="N205" s="20"/>
      <c r="O205" s="14">
        <v>6</v>
      </c>
      <c r="P205">
        <v>6.4541999999999993</v>
      </c>
      <c r="Q205" s="20">
        <v>1</v>
      </c>
      <c r="R205">
        <v>1.1620000000000001E-3</v>
      </c>
      <c r="S205">
        <v>18.42857175</v>
      </c>
      <c r="T205" s="15">
        <f t="shared" si="3"/>
        <v>1.1620340243562331E-3</v>
      </c>
      <c r="V205" s="13">
        <v>0</v>
      </c>
      <c r="W205" s="15">
        <v>100000</v>
      </c>
      <c r="Y205">
        <v>1.04</v>
      </c>
    </row>
    <row r="206" spans="3:25" x14ac:dyDescent="0.25">
      <c r="C206" t="s">
        <v>347</v>
      </c>
      <c r="D206" t="s">
        <v>98</v>
      </c>
      <c r="E206" t="s">
        <v>343</v>
      </c>
      <c r="F206">
        <v>1</v>
      </c>
      <c r="G206">
        <v>66.400000000000006</v>
      </c>
      <c r="H206">
        <v>0</v>
      </c>
      <c r="I206">
        <v>66.400000000000006</v>
      </c>
      <c r="J206">
        <v>66.400000000000006</v>
      </c>
      <c r="K206" s="13">
        <v>1</v>
      </c>
      <c r="L206" s="13">
        <v>1</v>
      </c>
      <c r="M206" s="20"/>
      <c r="N206" s="20"/>
      <c r="O206" s="14">
        <v>6</v>
      </c>
      <c r="P206">
        <v>6.4541999999999993</v>
      </c>
      <c r="Q206" s="20">
        <v>1</v>
      </c>
      <c r="R206">
        <v>1.1620000000000001E-3</v>
      </c>
      <c r="S206">
        <v>14.021739</v>
      </c>
      <c r="T206" s="15">
        <f t="shared" si="3"/>
        <v>1.1620340243562331E-3</v>
      </c>
      <c r="V206" s="13">
        <v>0</v>
      </c>
      <c r="W206" s="15">
        <v>100000</v>
      </c>
      <c r="Y206">
        <v>0.79</v>
      </c>
    </row>
    <row r="207" spans="3:25" x14ac:dyDescent="0.25">
      <c r="C207" t="s">
        <v>348</v>
      </c>
      <c r="D207" t="s">
        <v>99</v>
      </c>
      <c r="E207" t="s">
        <v>343</v>
      </c>
      <c r="F207">
        <v>1</v>
      </c>
      <c r="G207">
        <v>16.7</v>
      </c>
      <c r="H207">
        <v>0</v>
      </c>
      <c r="I207">
        <v>16.7</v>
      </c>
      <c r="J207">
        <v>16.7</v>
      </c>
      <c r="K207" s="13">
        <v>1</v>
      </c>
      <c r="L207" s="13">
        <v>1</v>
      </c>
      <c r="M207" s="20"/>
      <c r="N207" s="20"/>
      <c r="O207" s="14">
        <v>6</v>
      </c>
      <c r="P207">
        <v>20.395271999999999</v>
      </c>
      <c r="Q207" s="20">
        <v>1</v>
      </c>
      <c r="R207">
        <v>1.1620000000000001E-3</v>
      </c>
      <c r="S207">
        <v>56.616666929999994</v>
      </c>
      <c r="T207" s="15">
        <f t="shared" si="3"/>
        <v>1.1620340243562331E-3</v>
      </c>
      <c r="V207" s="13">
        <v>0</v>
      </c>
      <c r="W207" s="15">
        <v>100000</v>
      </c>
      <c r="Y207">
        <v>0.56999999999999995</v>
      </c>
    </row>
    <row r="208" spans="3:25" x14ac:dyDescent="0.25">
      <c r="C208" t="s">
        <v>349</v>
      </c>
      <c r="D208" t="s">
        <v>99</v>
      </c>
      <c r="E208" t="s">
        <v>343</v>
      </c>
      <c r="F208">
        <v>1</v>
      </c>
      <c r="G208">
        <v>71.3</v>
      </c>
      <c r="H208">
        <v>0</v>
      </c>
      <c r="I208">
        <v>71.3</v>
      </c>
      <c r="J208">
        <v>71.3</v>
      </c>
      <c r="K208" s="13">
        <v>1</v>
      </c>
      <c r="L208" s="13">
        <v>1</v>
      </c>
      <c r="M208" s="20"/>
      <c r="N208" s="20"/>
      <c r="O208" s="14">
        <v>6</v>
      </c>
      <c r="P208">
        <v>20.395271999999999</v>
      </c>
      <c r="Q208" s="20">
        <v>1</v>
      </c>
      <c r="R208">
        <v>1.1620000000000001E-3</v>
      </c>
      <c r="S208">
        <v>49.712195700000002</v>
      </c>
      <c r="T208" s="15">
        <f t="shared" si="3"/>
        <v>1.1620340243562331E-3</v>
      </c>
      <c r="V208" s="13">
        <v>0</v>
      </c>
      <c r="W208" s="15">
        <v>100000</v>
      </c>
      <c r="Y208">
        <v>0.5</v>
      </c>
    </row>
    <row r="209" spans="3:25" x14ac:dyDescent="0.25">
      <c r="C209" t="s">
        <v>350</v>
      </c>
      <c r="D209" t="s">
        <v>99</v>
      </c>
      <c r="E209" t="s">
        <v>343</v>
      </c>
      <c r="F209">
        <v>1</v>
      </c>
      <c r="G209">
        <v>184.7</v>
      </c>
      <c r="H209">
        <v>0</v>
      </c>
      <c r="I209">
        <v>184.7</v>
      </c>
      <c r="J209">
        <v>184.7</v>
      </c>
      <c r="K209" s="13">
        <v>1</v>
      </c>
      <c r="L209" s="13">
        <v>1</v>
      </c>
      <c r="M209" s="20"/>
      <c r="N209" s="20"/>
      <c r="O209" s="14">
        <v>6</v>
      </c>
      <c r="P209">
        <v>20.395271999999999</v>
      </c>
      <c r="Q209" s="20">
        <v>1</v>
      </c>
      <c r="R209">
        <v>1.1620000000000001E-3</v>
      </c>
      <c r="S209">
        <v>50.954999999999998</v>
      </c>
      <c r="T209" s="15">
        <f t="shared" si="3"/>
        <v>1.1620340243562331E-3</v>
      </c>
      <c r="V209" s="13">
        <v>0</v>
      </c>
      <c r="W209" s="15">
        <v>100000</v>
      </c>
      <c r="Y209">
        <v>0.51</v>
      </c>
    </row>
    <row r="210" spans="3:25" x14ac:dyDescent="0.25">
      <c r="C210" t="s">
        <v>351</v>
      </c>
      <c r="D210" t="s">
        <v>99</v>
      </c>
      <c r="E210" t="s">
        <v>343</v>
      </c>
      <c r="F210">
        <v>1</v>
      </c>
      <c r="G210">
        <v>502.5</v>
      </c>
      <c r="H210">
        <v>0</v>
      </c>
      <c r="I210">
        <v>502.5</v>
      </c>
      <c r="J210">
        <v>502.5</v>
      </c>
      <c r="K210" s="13">
        <v>1</v>
      </c>
      <c r="L210" s="13">
        <v>1</v>
      </c>
      <c r="M210" s="20"/>
      <c r="N210" s="20"/>
      <c r="O210" s="14">
        <v>6</v>
      </c>
      <c r="P210">
        <v>20.395271999999999</v>
      </c>
      <c r="Q210" s="20">
        <v>1</v>
      </c>
      <c r="R210">
        <v>1.1620000000000001E-3</v>
      </c>
      <c r="S210">
        <v>33.969999209999997</v>
      </c>
      <c r="T210" s="15">
        <f t="shared" si="3"/>
        <v>1.1620340243562331E-3</v>
      </c>
      <c r="V210" s="13">
        <v>0</v>
      </c>
      <c r="W210" s="15">
        <v>100000</v>
      </c>
      <c r="Y210">
        <v>0.34</v>
      </c>
    </row>
    <row r="211" spans="3:25" x14ac:dyDescent="0.25">
      <c r="C211" t="s">
        <v>352</v>
      </c>
      <c r="D211" t="s">
        <v>119</v>
      </c>
      <c r="E211" t="s">
        <v>343</v>
      </c>
      <c r="F211">
        <v>1</v>
      </c>
      <c r="G211">
        <v>133.30000000000001</v>
      </c>
      <c r="H211">
        <v>0</v>
      </c>
      <c r="I211">
        <v>133.30000000000001</v>
      </c>
      <c r="J211">
        <v>133.30000000000001</v>
      </c>
      <c r="K211" s="13">
        <v>1</v>
      </c>
      <c r="L211" s="13">
        <v>1</v>
      </c>
      <c r="M211" s="20"/>
      <c r="N211" s="20"/>
      <c r="O211" s="14">
        <v>6</v>
      </c>
      <c r="P211">
        <v>33.647896000000003</v>
      </c>
      <c r="Q211" s="20">
        <v>1</v>
      </c>
      <c r="R211">
        <v>1.1620000000000001E-3</v>
      </c>
      <c r="S211">
        <v>96.074287389999995</v>
      </c>
      <c r="T211" s="15">
        <f t="shared" si="3"/>
        <v>1.1620340243562331E-3</v>
      </c>
      <c r="V211" s="13">
        <v>0</v>
      </c>
      <c r="W211" s="15">
        <v>100000</v>
      </c>
      <c r="Y211">
        <v>0.8</v>
      </c>
    </row>
    <row r="212" spans="3:25" x14ac:dyDescent="0.25">
      <c r="C212" t="s">
        <v>353</v>
      </c>
      <c r="D212" t="s">
        <v>99</v>
      </c>
      <c r="E212" t="s">
        <v>343</v>
      </c>
      <c r="F212">
        <v>1</v>
      </c>
      <c r="G212">
        <v>545.6</v>
      </c>
      <c r="H212">
        <v>0</v>
      </c>
      <c r="I212">
        <v>545.6</v>
      </c>
      <c r="J212">
        <v>545.6</v>
      </c>
      <c r="K212" s="13">
        <v>1</v>
      </c>
      <c r="L212" s="13">
        <v>1</v>
      </c>
      <c r="M212" s="20"/>
      <c r="N212" s="20"/>
      <c r="O212" s="14">
        <v>6</v>
      </c>
      <c r="P212">
        <v>20.395271999999999</v>
      </c>
      <c r="Q212" s="20">
        <v>1</v>
      </c>
      <c r="R212">
        <v>1.1620000000000001E-3</v>
      </c>
      <c r="S212">
        <v>36.396428909999997</v>
      </c>
      <c r="T212" s="15">
        <f t="shared" si="3"/>
        <v>1.1620340243562331E-3</v>
      </c>
      <c r="V212" s="13">
        <v>0</v>
      </c>
      <c r="W212" s="15">
        <v>100000</v>
      </c>
      <c r="Y212">
        <v>0.37</v>
      </c>
    </row>
    <row r="213" spans="3:25" x14ac:dyDescent="0.25">
      <c r="C213" t="s">
        <v>354</v>
      </c>
      <c r="D213" t="s">
        <v>108</v>
      </c>
      <c r="E213" t="s">
        <v>343</v>
      </c>
      <c r="F213">
        <v>1</v>
      </c>
      <c r="G213">
        <v>40</v>
      </c>
      <c r="H213">
        <v>0</v>
      </c>
      <c r="I213">
        <v>40</v>
      </c>
      <c r="J213">
        <v>40</v>
      </c>
      <c r="K213" s="13">
        <v>1</v>
      </c>
      <c r="L213" s="13">
        <v>1</v>
      </c>
      <c r="M213" s="20"/>
      <c r="N213" s="20"/>
      <c r="O213" s="14">
        <v>6</v>
      </c>
      <c r="P213">
        <v>64.972279999999998</v>
      </c>
      <c r="Q213" s="20">
        <v>1</v>
      </c>
      <c r="R213">
        <v>1.1620000000000001E-3</v>
      </c>
      <c r="S213">
        <v>135.27083585</v>
      </c>
      <c r="T213" s="15">
        <f t="shared" si="3"/>
        <v>1.1620340243562331E-3</v>
      </c>
      <c r="V213" s="13">
        <v>0</v>
      </c>
      <c r="W213" s="15">
        <v>100000</v>
      </c>
      <c r="Y213">
        <v>0.43</v>
      </c>
    </row>
    <row r="214" spans="3:25" x14ac:dyDescent="0.25">
      <c r="C214" t="s">
        <v>355</v>
      </c>
      <c r="D214" t="s">
        <v>95</v>
      </c>
      <c r="E214" t="s">
        <v>356</v>
      </c>
      <c r="F214">
        <v>1</v>
      </c>
      <c r="G214">
        <v>13236</v>
      </c>
      <c r="H214">
        <v>0</v>
      </c>
      <c r="I214">
        <v>13236</v>
      </c>
      <c r="J214">
        <v>13236</v>
      </c>
      <c r="K214" s="13">
        <v>1</v>
      </c>
      <c r="L214" s="13">
        <v>1</v>
      </c>
      <c r="M214" s="20"/>
      <c r="N214" s="20"/>
      <c r="O214" s="14">
        <v>6</v>
      </c>
      <c r="P214">
        <v>6.0239199999999995</v>
      </c>
      <c r="Q214" s="20">
        <v>1</v>
      </c>
      <c r="R214">
        <v>1.1620000000000001E-3</v>
      </c>
      <c r="S214">
        <v>18.242424199999999</v>
      </c>
      <c r="T214" s="15">
        <f t="shared" si="3"/>
        <v>1.1620340243562331E-3</v>
      </c>
      <c r="V214" s="13">
        <v>0</v>
      </c>
      <c r="W214" s="15">
        <v>100000</v>
      </c>
      <c r="Y214">
        <v>0</v>
      </c>
    </row>
    <row r="215" spans="3:25" x14ac:dyDescent="0.25">
      <c r="C215" t="s">
        <v>357</v>
      </c>
      <c r="D215" t="s">
        <v>99</v>
      </c>
      <c r="E215" t="s">
        <v>356</v>
      </c>
      <c r="F215">
        <v>1</v>
      </c>
      <c r="G215">
        <v>536</v>
      </c>
      <c r="H215">
        <v>0</v>
      </c>
      <c r="I215">
        <v>536</v>
      </c>
      <c r="J215">
        <v>536</v>
      </c>
      <c r="K215" s="13">
        <v>1</v>
      </c>
      <c r="L215" s="13">
        <v>1</v>
      </c>
      <c r="M215" s="20"/>
      <c r="N215" s="20"/>
      <c r="O215" s="14">
        <v>6</v>
      </c>
      <c r="P215">
        <v>20.395271999999999</v>
      </c>
      <c r="Q215" s="20">
        <v>1</v>
      </c>
      <c r="R215">
        <v>1.1620000000000001E-3</v>
      </c>
      <c r="S215">
        <v>56.616666929999994</v>
      </c>
      <c r="T215" s="15">
        <f t="shared" si="3"/>
        <v>1.1620340243562331E-3</v>
      </c>
      <c r="V215" s="13">
        <v>0</v>
      </c>
      <c r="W215" s="15">
        <v>100000</v>
      </c>
      <c r="Y215">
        <v>0.56999999999999995</v>
      </c>
    </row>
    <row r="216" spans="3:25" x14ac:dyDescent="0.25">
      <c r="C216" t="s">
        <v>358</v>
      </c>
      <c r="D216" t="s">
        <v>99</v>
      </c>
      <c r="E216" t="s">
        <v>356</v>
      </c>
      <c r="F216">
        <v>1</v>
      </c>
      <c r="G216">
        <v>641.70000000000005</v>
      </c>
      <c r="H216">
        <v>0</v>
      </c>
      <c r="I216">
        <v>641.70000000000005</v>
      </c>
      <c r="J216">
        <v>641.70000000000005</v>
      </c>
      <c r="K216" s="13">
        <v>1</v>
      </c>
      <c r="L216" s="13">
        <v>1</v>
      </c>
      <c r="M216" s="20"/>
      <c r="N216" s="20"/>
      <c r="O216" s="14">
        <v>6</v>
      </c>
      <c r="P216">
        <v>20.395271999999999</v>
      </c>
      <c r="Q216" s="20">
        <v>1</v>
      </c>
      <c r="R216">
        <v>1.1620000000000001E-3</v>
      </c>
      <c r="S216">
        <v>49.712195700000002</v>
      </c>
      <c r="T216" s="15">
        <f t="shared" si="3"/>
        <v>1.1620340243562331E-3</v>
      </c>
      <c r="V216" s="13">
        <v>0</v>
      </c>
      <c r="W216" s="15">
        <v>100000</v>
      </c>
      <c r="Y216">
        <v>0.5</v>
      </c>
    </row>
    <row r="217" spans="3:25" x14ac:dyDescent="0.25">
      <c r="C217" t="s">
        <v>359</v>
      </c>
      <c r="D217" t="s">
        <v>99</v>
      </c>
      <c r="E217" t="s">
        <v>356</v>
      </c>
      <c r="F217">
        <v>1</v>
      </c>
      <c r="G217">
        <v>3270</v>
      </c>
      <c r="H217">
        <v>0</v>
      </c>
      <c r="I217">
        <v>3270</v>
      </c>
      <c r="J217">
        <v>3270</v>
      </c>
      <c r="K217" s="13">
        <v>1</v>
      </c>
      <c r="L217" s="13">
        <v>1</v>
      </c>
      <c r="M217" s="20"/>
      <c r="N217" s="20"/>
      <c r="O217" s="14">
        <v>6</v>
      </c>
      <c r="P217">
        <v>20.395271999999999</v>
      </c>
      <c r="Q217" s="20">
        <v>1</v>
      </c>
      <c r="R217">
        <v>1.1620000000000001E-3</v>
      </c>
      <c r="S217">
        <v>39.964705649999999</v>
      </c>
      <c r="T217" s="15">
        <f t="shared" si="3"/>
        <v>1.1620340243562331E-3</v>
      </c>
      <c r="V217" s="13">
        <v>0</v>
      </c>
      <c r="W217" s="15">
        <v>100000</v>
      </c>
      <c r="Y217">
        <v>0.04</v>
      </c>
    </row>
    <row r="218" spans="3:25" x14ac:dyDescent="0.25">
      <c r="C218" t="s">
        <v>360</v>
      </c>
      <c r="D218" t="s">
        <v>99</v>
      </c>
      <c r="E218" t="s">
        <v>356</v>
      </c>
      <c r="F218">
        <v>1</v>
      </c>
      <c r="G218">
        <v>598</v>
      </c>
      <c r="H218">
        <v>0</v>
      </c>
      <c r="I218">
        <v>598</v>
      </c>
      <c r="J218">
        <v>598</v>
      </c>
      <c r="K218" s="13">
        <v>1</v>
      </c>
      <c r="L218" s="13">
        <v>1</v>
      </c>
      <c r="M218" s="20"/>
      <c r="N218" s="20"/>
      <c r="O218" s="14">
        <v>6</v>
      </c>
      <c r="P218">
        <v>20.395271999999999</v>
      </c>
      <c r="Q218" s="20">
        <v>1</v>
      </c>
      <c r="R218">
        <v>1.1620000000000001E-3</v>
      </c>
      <c r="S218">
        <v>58.234286729999994</v>
      </c>
      <c r="T218" s="15">
        <f t="shared" si="3"/>
        <v>1.1620340243562331E-3</v>
      </c>
      <c r="V218" s="13">
        <v>0</v>
      </c>
      <c r="W218" s="15">
        <v>100000</v>
      </c>
      <c r="Y218">
        <v>0.59</v>
      </c>
    </row>
    <row r="219" spans="3:25" x14ac:dyDescent="0.25">
      <c r="C219" t="s">
        <v>361</v>
      </c>
      <c r="D219" t="s">
        <v>99</v>
      </c>
      <c r="E219" t="s">
        <v>356</v>
      </c>
      <c r="F219">
        <v>1</v>
      </c>
      <c r="G219">
        <v>5983.1</v>
      </c>
      <c r="H219">
        <v>0</v>
      </c>
      <c r="I219">
        <v>5983.1</v>
      </c>
      <c r="J219">
        <v>5983.1</v>
      </c>
      <c r="K219" s="13">
        <v>1</v>
      </c>
      <c r="L219" s="13">
        <v>1</v>
      </c>
      <c r="M219" s="20"/>
      <c r="N219" s="20"/>
      <c r="O219" s="14">
        <v>6</v>
      </c>
      <c r="P219">
        <v>20.395271999999999</v>
      </c>
      <c r="Q219" s="20">
        <v>1</v>
      </c>
      <c r="R219">
        <v>1.1620000000000001E-3</v>
      </c>
      <c r="S219">
        <v>36.396428909999997</v>
      </c>
      <c r="T219" s="15">
        <f t="shared" si="3"/>
        <v>1.1620340243562331E-3</v>
      </c>
      <c r="V219" s="13">
        <v>0</v>
      </c>
      <c r="W219" s="15">
        <v>100000</v>
      </c>
      <c r="Y219">
        <v>0.37</v>
      </c>
    </row>
    <row r="220" spans="3:25" x14ac:dyDescent="0.25">
      <c r="C220" t="s">
        <v>362</v>
      </c>
      <c r="D220" t="s">
        <v>108</v>
      </c>
      <c r="E220" t="s">
        <v>356</v>
      </c>
      <c r="F220">
        <v>1</v>
      </c>
      <c r="G220">
        <v>730.4</v>
      </c>
      <c r="H220">
        <v>0</v>
      </c>
      <c r="I220">
        <v>730.4</v>
      </c>
      <c r="J220">
        <v>730.4</v>
      </c>
      <c r="K220" s="13">
        <v>1</v>
      </c>
      <c r="L220" s="13">
        <v>1</v>
      </c>
      <c r="M220" s="20"/>
      <c r="N220" s="20"/>
      <c r="O220" s="14">
        <v>6</v>
      </c>
      <c r="P220">
        <v>70.910144000000003</v>
      </c>
      <c r="Q220" s="20">
        <v>1</v>
      </c>
      <c r="R220">
        <v>1.1620000000000001E-3</v>
      </c>
      <c r="S220">
        <v>154.05217248</v>
      </c>
      <c r="T220" s="15">
        <f t="shared" si="3"/>
        <v>1.1620340243562331E-3</v>
      </c>
      <c r="V220" s="13">
        <v>0</v>
      </c>
      <c r="W220" s="15">
        <v>100000</v>
      </c>
      <c r="Y220">
        <v>0.74</v>
      </c>
    </row>
    <row r="221" spans="3:25" x14ac:dyDescent="0.25">
      <c r="C221" t="s">
        <v>363</v>
      </c>
      <c r="D221" t="s">
        <v>108</v>
      </c>
      <c r="E221" t="s">
        <v>356</v>
      </c>
      <c r="F221">
        <v>1</v>
      </c>
      <c r="G221">
        <v>11200</v>
      </c>
      <c r="H221">
        <v>0</v>
      </c>
      <c r="I221">
        <v>11200</v>
      </c>
      <c r="J221">
        <v>11200</v>
      </c>
      <c r="K221" s="13">
        <v>1</v>
      </c>
      <c r="L221" s="13">
        <v>1</v>
      </c>
      <c r="M221" s="20"/>
      <c r="N221" s="20"/>
      <c r="O221" s="14">
        <v>6</v>
      </c>
      <c r="P221">
        <v>29.775375999999998</v>
      </c>
      <c r="Q221" s="20">
        <v>1</v>
      </c>
      <c r="R221">
        <v>1.1620000000000001E-3</v>
      </c>
      <c r="S221">
        <v>78.305263339999996</v>
      </c>
      <c r="T221" s="15">
        <f t="shared" si="3"/>
        <v>1.1620340243562331E-3</v>
      </c>
      <c r="V221" s="13">
        <v>0</v>
      </c>
      <c r="W221" s="15">
        <v>100000</v>
      </c>
      <c r="Y221">
        <v>0.09</v>
      </c>
    </row>
    <row r="222" spans="3:25" x14ac:dyDescent="0.25">
      <c r="C222" t="s">
        <v>364</v>
      </c>
      <c r="D222" t="s">
        <v>108</v>
      </c>
      <c r="E222" t="s">
        <v>356</v>
      </c>
      <c r="F222">
        <v>1</v>
      </c>
      <c r="G222">
        <v>12855.4</v>
      </c>
      <c r="H222">
        <v>0</v>
      </c>
      <c r="I222">
        <v>12855.4</v>
      </c>
      <c r="J222">
        <v>12855.4</v>
      </c>
      <c r="K222" s="13">
        <v>1</v>
      </c>
      <c r="L222" s="13">
        <v>1</v>
      </c>
      <c r="M222" s="20"/>
      <c r="N222" s="20"/>
      <c r="O222" s="14">
        <v>6</v>
      </c>
      <c r="P222">
        <v>77.106175999999991</v>
      </c>
      <c r="Q222" s="20">
        <v>1</v>
      </c>
      <c r="R222">
        <v>1.1620000000000001E-3</v>
      </c>
      <c r="S222">
        <v>128.42666367999999</v>
      </c>
      <c r="T222" s="15">
        <f t="shared" si="3"/>
        <v>1.1620340243562331E-3</v>
      </c>
      <c r="V222" s="13">
        <v>0</v>
      </c>
      <c r="W222" s="15">
        <v>100000</v>
      </c>
      <c r="Y222">
        <v>0.34</v>
      </c>
    </row>
    <row r="223" spans="3:25" x14ac:dyDescent="0.25">
      <c r="C223" t="s">
        <v>365</v>
      </c>
      <c r="D223" t="s">
        <v>108</v>
      </c>
      <c r="E223" t="s">
        <v>356</v>
      </c>
      <c r="F223">
        <v>1</v>
      </c>
      <c r="G223">
        <v>1362.4</v>
      </c>
      <c r="H223">
        <v>0</v>
      </c>
      <c r="I223">
        <v>1362.4</v>
      </c>
      <c r="J223">
        <v>1362.4</v>
      </c>
      <c r="K223" s="13">
        <v>1</v>
      </c>
      <c r="L223" s="13">
        <v>1</v>
      </c>
      <c r="M223" s="20"/>
      <c r="N223" s="20"/>
      <c r="O223" s="14">
        <v>6</v>
      </c>
      <c r="P223">
        <v>81.581087999999994</v>
      </c>
      <c r="Q223" s="20">
        <v>1</v>
      </c>
      <c r="R223">
        <v>1.1620000000000001E-3</v>
      </c>
      <c r="S223">
        <v>203.82</v>
      </c>
      <c r="T223" s="15">
        <f t="shared" si="3"/>
        <v>1.1620340243562331E-3</v>
      </c>
      <c r="V223" s="13">
        <v>0</v>
      </c>
      <c r="W223" s="15">
        <v>100000</v>
      </c>
      <c r="Y223">
        <v>0.85</v>
      </c>
    </row>
    <row r="224" spans="3:25" x14ac:dyDescent="0.25">
      <c r="C224" t="s">
        <v>366</v>
      </c>
      <c r="D224" t="s">
        <v>98</v>
      </c>
      <c r="E224" t="s">
        <v>367</v>
      </c>
      <c r="F224">
        <v>1</v>
      </c>
      <c r="G224">
        <v>18</v>
      </c>
      <c r="H224">
        <v>0</v>
      </c>
      <c r="I224">
        <v>18</v>
      </c>
      <c r="J224">
        <v>18</v>
      </c>
      <c r="K224" s="13">
        <v>1</v>
      </c>
      <c r="L224" s="13">
        <v>1</v>
      </c>
      <c r="M224" s="20"/>
      <c r="N224" s="20"/>
      <c r="O224" s="14">
        <v>6</v>
      </c>
      <c r="P224">
        <v>6.4541999999999993</v>
      </c>
      <c r="Q224" s="20">
        <v>1</v>
      </c>
      <c r="R224">
        <v>1.1620000000000001E-3</v>
      </c>
      <c r="S224">
        <v>18.42857175</v>
      </c>
      <c r="T224" s="15">
        <f t="shared" si="3"/>
        <v>1.1620340243562331E-3</v>
      </c>
      <c r="V224" s="13">
        <v>0</v>
      </c>
      <c r="W224" s="15">
        <v>100000</v>
      </c>
      <c r="Y224">
        <v>1.04</v>
      </c>
    </row>
    <row r="225" spans="1:25" x14ac:dyDescent="0.25">
      <c r="C225" t="s">
        <v>368</v>
      </c>
      <c r="D225" t="s">
        <v>99</v>
      </c>
      <c r="E225" t="s">
        <v>367</v>
      </c>
      <c r="F225">
        <v>1</v>
      </c>
      <c r="G225">
        <v>539</v>
      </c>
      <c r="H225">
        <v>0</v>
      </c>
      <c r="I225">
        <v>539</v>
      </c>
      <c r="J225">
        <v>539</v>
      </c>
      <c r="K225" s="13">
        <v>1</v>
      </c>
      <c r="L225" s="13">
        <v>1</v>
      </c>
      <c r="M225" s="20"/>
      <c r="N225" s="20"/>
      <c r="O225" s="14">
        <v>6</v>
      </c>
      <c r="P225">
        <v>20.395271999999999</v>
      </c>
      <c r="Q225" s="20">
        <v>1</v>
      </c>
      <c r="R225">
        <v>1.1620000000000001E-3</v>
      </c>
      <c r="S225">
        <v>42.46250079</v>
      </c>
      <c r="T225" s="15">
        <f t="shared" si="3"/>
        <v>1.1620340243562331E-3</v>
      </c>
      <c r="V225" s="13">
        <v>0</v>
      </c>
      <c r="W225" s="15">
        <v>100000</v>
      </c>
      <c r="Y225">
        <v>0.43</v>
      </c>
    </row>
    <row r="226" spans="1:25" x14ac:dyDescent="0.25">
      <c r="C226" t="s">
        <v>369</v>
      </c>
      <c r="D226" t="s">
        <v>99</v>
      </c>
      <c r="E226" t="s">
        <v>367</v>
      </c>
      <c r="F226">
        <v>1</v>
      </c>
      <c r="G226">
        <v>1030</v>
      </c>
      <c r="H226">
        <v>0</v>
      </c>
      <c r="I226">
        <v>1030</v>
      </c>
      <c r="J226">
        <v>1030</v>
      </c>
      <c r="K226" s="13">
        <v>1</v>
      </c>
      <c r="L226" s="13">
        <v>1</v>
      </c>
      <c r="M226" s="20"/>
      <c r="N226" s="20"/>
      <c r="O226" s="14">
        <v>6</v>
      </c>
      <c r="P226">
        <v>20.395271999999999</v>
      </c>
      <c r="Q226" s="20">
        <v>1</v>
      </c>
      <c r="R226">
        <v>1.1620000000000001E-3</v>
      </c>
      <c r="S226">
        <v>33.969999209999997</v>
      </c>
      <c r="T226" s="15">
        <f t="shared" si="3"/>
        <v>1.1620340243562331E-3</v>
      </c>
      <c r="V226" s="13">
        <v>0</v>
      </c>
      <c r="W226" s="15">
        <v>100000</v>
      </c>
      <c r="Y226">
        <v>0.34</v>
      </c>
    </row>
    <row r="227" spans="1:25" x14ac:dyDescent="0.25">
      <c r="C227" t="s">
        <v>370</v>
      </c>
      <c r="D227" t="s">
        <v>99</v>
      </c>
      <c r="E227" t="s">
        <v>367</v>
      </c>
      <c r="F227">
        <v>1</v>
      </c>
      <c r="G227">
        <v>12</v>
      </c>
      <c r="H227">
        <v>0</v>
      </c>
      <c r="I227">
        <v>12</v>
      </c>
      <c r="J227">
        <v>12</v>
      </c>
      <c r="K227" s="13">
        <v>1</v>
      </c>
      <c r="L227" s="13">
        <v>1</v>
      </c>
      <c r="M227" s="20"/>
      <c r="N227" s="20"/>
      <c r="O227" s="14">
        <v>6</v>
      </c>
      <c r="P227">
        <v>20.395271999999999</v>
      </c>
      <c r="Q227" s="20">
        <v>1</v>
      </c>
      <c r="R227">
        <v>1.1620000000000001E-3</v>
      </c>
      <c r="S227">
        <v>58.234286729999994</v>
      </c>
      <c r="T227" s="15">
        <f t="shared" si="3"/>
        <v>1.1620340243562331E-3</v>
      </c>
      <c r="V227" s="13">
        <v>0</v>
      </c>
      <c r="W227" s="15">
        <v>100000</v>
      </c>
      <c r="Y227">
        <v>0.59</v>
      </c>
    </row>
    <row r="228" spans="1:25" x14ac:dyDescent="0.25">
      <c r="C228" t="s">
        <v>371</v>
      </c>
      <c r="D228" t="s">
        <v>119</v>
      </c>
      <c r="E228" t="s">
        <v>367</v>
      </c>
      <c r="F228">
        <v>1</v>
      </c>
      <c r="G228">
        <v>389</v>
      </c>
      <c r="H228">
        <v>0</v>
      </c>
      <c r="I228">
        <v>389</v>
      </c>
      <c r="J228">
        <v>389</v>
      </c>
      <c r="K228" s="13">
        <v>1</v>
      </c>
      <c r="L228" s="13">
        <v>1</v>
      </c>
      <c r="M228" s="20"/>
      <c r="N228" s="20"/>
      <c r="O228" s="14">
        <v>6</v>
      </c>
      <c r="P228">
        <v>40.962656000000003</v>
      </c>
      <c r="Q228" s="20">
        <v>1</v>
      </c>
      <c r="R228">
        <v>1.1620000000000001E-3</v>
      </c>
      <c r="S228">
        <v>116.96000204000001</v>
      </c>
      <c r="T228" s="15">
        <f t="shared" si="3"/>
        <v>1.1620340243562331E-3</v>
      </c>
      <c r="V228" s="13">
        <v>0</v>
      </c>
      <c r="W228" s="15">
        <v>100000</v>
      </c>
      <c r="Y228">
        <v>0.8</v>
      </c>
    </row>
    <row r="229" spans="1:25" x14ac:dyDescent="0.25">
      <c r="C229" t="s">
        <v>372</v>
      </c>
      <c r="D229" t="s">
        <v>99</v>
      </c>
      <c r="E229" t="s">
        <v>367</v>
      </c>
      <c r="F229">
        <v>1</v>
      </c>
      <c r="G229">
        <v>408</v>
      </c>
      <c r="H229">
        <v>0</v>
      </c>
      <c r="I229">
        <v>408</v>
      </c>
      <c r="J229">
        <v>408</v>
      </c>
      <c r="K229" s="13">
        <v>1</v>
      </c>
      <c r="L229" s="13">
        <v>1</v>
      </c>
      <c r="M229" s="20"/>
      <c r="N229" s="20"/>
      <c r="O229" s="14">
        <v>6</v>
      </c>
      <c r="P229">
        <v>20.395271999999999</v>
      </c>
      <c r="Q229" s="20">
        <v>1</v>
      </c>
      <c r="R229">
        <v>1.1620000000000001E-3</v>
      </c>
      <c r="S229">
        <v>1</v>
      </c>
      <c r="T229" s="15">
        <f t="shared" si="3"/>
        <v>1.1620340243562331E-3</v>
      </c>
      <c r="V229" s="13">
        <v>0</v>
      </c>
      <c r="W229" s="15">
        <v>100000</v>
      </c>
      <c r="Y229">
        <v>0.35</v>
      </c>
    </row>
    <row r="230" spans="1:25" x14ac:dyDescent="0.25">
      <c r="A230" t="s">
        <v>373</v>
      </c>
      <c r="C230" t="s">
        <v>344</v>
      </c>
      <c r="D230" t="s">
        <v>98</v>
      </c>
      <c r="E230" t="s">
        <v>343</v>
      </c>
      <c r="F230">
        <v>1</v>
      </c>
      <c r="G230">
        <v>27.1</v>
      </c>
      <c r="H230">
        <v>0</v>
      </c>
      <c r="I230">
        <v>27.1</v>
      </c>
      <c r="J230">
        <v>27.1</v>
      </c>
      <c r="K230" s="13">
        <v>1</v>
      </c>
      <c r="L230" s="13">
        <v>1</v>
      </c>
      <c r="M230" s="20"/>
      <c r="N230" s="20"/>
      <c r="O230" s="14">
        <v>6</v>
      </c>
      <c r="P230">
        <f t="shared" ref="P230:P256" si="4">K230*860.56</f>
        <v>860.56</v>
      </c>
      <c r="Q230" s="20">
        <v>1</v>
      </c>
      <c r="R230">
        <v>1.1620000000000001E-3</v>
      </c>
      <c r="S230">
        <v>1</v>
      </c>
      <c r="T230" s="15">
        <f t="shared" si="3"/>
        <v>1.1620340243562331E-3</v>
      </c>
      <c r="V230" s="13">
        <v>0</v>
      </c>
      <c r="W230" s="15">
        <v>100000</v>
      </c>
      <c r="Y230">
        <v>0.97</v>
      </c>
    </row>
    <row r="231" spans="1:25" x14ac:dyDescent="0.25">
      <c r="A231" t="s">
        <v>373</v>
      </c>
      <c r="C231" t="s">
        <v>345</v>
      </c>
      <c r="D231" t="s">
        <v>98</v>
      </c>
      <c r="E231" t="s">
        <v>343</v>
      </c>
      <c r="F231">
        <v>1</v>
      </c>
      <c r="G231">
        <v>263.39999999999998</v>
      </c>
      <c r="H231">
        <v>0</v>
      </c>
      <c r="I231">
        <v>263.39999999999998</v>
      </c>
      <c r="J231">
        <v>263.39999999999998</v>
      </c>
      <c r="K231" s="13">
        <v>1</v>
      </c>
      <c r="L231" s="13">
        <v>1</v>
      </c>
      <c r="M231" s="20"/>
      <c r="N231" s="20"/>
      <c r="O231" s="14">
        <v>6</v>
      </c>
      <c r="P231">
        <f t="shared" si="4"/>
        <v>860.56</v>
      </c>
      <c r="Q231" s="20">
        <v>1</v>
      </c>
      <c r="R231">
        <v>1.1620000000000001E-3</v>
      </c>
      <c r="S231">
        <v>1</v>
      </c>
      <c r="T231" s="15">
        <f t="shared" si="3"/>
        <v>1.1620340243562331E-3</v>
      </c>
      <c r="V231" s="13">
        <v>0</v>
      </c>
      <c r="W231" s="15">
        <v>100000</v>
      </c>
      <c r="Y231">
        <v>0.74</v>
      </c>
    </row>
    <row r="232" spans="1:25" x14ac:dyDescent="0.25">
      <c r="A232" t="s">
        <v>373</v>
      </c>
      <c r="C232" t="s">
        <v>346</v>
      </c>
      <c r="D232" t="s">
        <v>98</v>
      </c>
      <c r="E232" t="s">
        <v>343</v>
      </c>
      <c r="F232">
        <v>1</v>
      </c>
      <c r="G232">
        <v>18.5</v>
      </c>
      <c r="H232">
        <v>0</v>
      </c>
      <c r="I232">
        <v>18.5</v>
      </c>
      <c r="J232">
        <v>18.5</v>
      </c>
      <c r="K232" s="13">
        <v>1</v>
      </c>
      <c r="L232" s="13">
        <v>1</v>
      </c>
      <c r="M232" s="20"/>
      <c r="N232" s="20"/>
      <c r="O232" s="14">
        <v>6</v>
      </c>
      <c r="P232">
        <f t="shared" si="4"/>
        <v>860.56</v>
      </c>
      <c r="Q232" s="20">
        <v>1</v>
      </c>
      <c r="R232">
        <v>1.1620000000000001E-3</v>
      </c>
      <c r="S232">
        <v>1</v>
      </c>
      <c r="T232" s="15">
        <f t="shared" si="3"/>
        <v>1.1620340243562331E-3</v>
      </c>
      <c r="V232" s="13">
        <v>0</v>
      </c>
      <c r="W232" s="15">
        <v>100000</v>
      </c>
      <c r="Y232">
        <v>1.04</v>
      </c>
    </row>
    <row r="233" spans="1:25" x14ac:dyDescent="0.25">
      <c r="A233" t="s">
        <v>373</v>
      </c>
      <c r="C233" t="s">
        <v>347</v>
      </c>
      <c r="D233" t="s">
        <v>98</v>
      </c>
      <c r="E233" t="s">
        <v>343</v>
      </c>
      <c r="F233">
        <v>1</v>
      </c>
      <c r="G233">
        <v>66.400000000000006</v>
      </c>
      <c r="H233">
        <v>0</v>
      </c>
      <c r="I233">
        <v>66.400000000000006</v>
      </c>
      <c r="J233">
        <v>66.400000000000006</v>
      </c>
      <c r="K233" s="13">
        <v>1</v>
      </c>
      <c r="L233" s="13">
        <v>1</v>
      </c>
      <c r="M233" s="20"/>
      <c r="N233" s="20"/>
      <c r="O233" s="14">
        <v>6</v>
      </c>
      <c r="P233">
        <f t="shared" si="4"/>
        <v>860.56</v>
      </c>
      <c r="Q233" s="20">
        <v>1</v>
      </c>
      <c r="R233">
        <v>1.1620000000000001E-3</v>
      </c>
      <c r="S233">
        <v>1</v>
      </c>
      <c r="T233" s="15">
        <f t="shared" si="3"/>
        <v>1.1620340243562331E-3</v>
      </c>
      <c r="V233" s="13">
        <v>0</v>
      </c>
      <c r="W233" s="15">
        <v>100000</v>
      </c>
      <c r="Y233">
        <v>0.79</v>
      </c>
    </row>
    <row r="234" spans="1:25" x14ac:dyDescent="0.25">
      <c r="A234" t="s">
        <v>373</v>
      </c>
      <c r="C234" t="s">
        <v>348</v>
      </c>
      <c r="D234" t="s">
        <v>99</v>
      </c>
      <c r="E234" t="s">
        <v>343</v>
      </c>
      <c r="F234">
        <v>1</v>
      </c>
      <c r="G234">
        <v>16.7</v>
      </c>
      <c r="H234">
        <v>0</v>
      </c>
      <c r="I234">
        <v>16.7</v>
      </c>
      <c r="J234">
        <v>16.7</v>
      </c>
      <c r="K234" s="13">
        <v>1</v>
      </c>
      <c r="L234" s="13">
        <v>1</v>
      </c>
      <c r="M234" s="20"/>
      <c r="N234" s="20"/>
      <c r="O234" s="14">
        <v>6</v>
      </c>
      <c r="P234">
        <f t="shared" si="4"/>
        <v>860.56</v>
      </c>
      <c r="Q234" s="20">
        <v>1</v>
      </c>
      <c r="R234">
        <v>1.1620000000000001E-3</v>
      </c>
      <c r="S234">
        <v>1</v>
      </c>
      <c r="T234" s="15">
        <f t="shared" si="3"/>
        <v>1.1620340243562331E-3</v>
      </c>
      <c r="V234" s="13">
        <v>0</v>
      </c>
      <c r="W234" s="15">
        <v>100000</v>
      </c>
      <c r="Y234">
        <v>0.56999999999999995</v>
      </c>
    </row>
    <row r="235" spans="1:25" x14ac:dyDescent="0.25">
      <c r="A235" t="s">
        <v>373</v>
      </c>
      <c r="C235" t="s">
        <v>349</v>
      </c>
      <c r="D235" t="s">
        <v>99</v>
      </c>
      <c r="E235" t="s">
        <v>343</v>
      </c>
      <c r="F235">
        <v>1</v>
      </c>
      <c r="G235">
        <v>71.3</v>
      </c>
      <c r="H235">
        <v>0</v>
      </c>
      <c r="I235">
        <v>71.3</v>
      </c>
      <c r="J235">
        <v>71.3</v>
      </c>
      <c r="K235" s="13">
        <v>1</v>
      </c>
      <c r="L235" s="13">
        <v>1</v>
      </c>
      <c r="M235" s="20"/>
      <c r="N235" s="20"/>
      <c r="O235" s="14">
        <v>6</v>
      </c>
      <c r="P235">
        <f t="shared" si="4"/>
        <v>860.56</v>
      </c>
      <c r="Q235" s="20">
        <v>1</v>
      </c>
      <c r="R235">
        <v>1.1620000000000001E-3</v>
      </c>
      <c r="S235">
        <v>1</v>
      </c>
      <c r="T235" s="15">
        <f t="shared" si="3"/>
        <v>1.1620340243562331E-3</v>
      </c>
      <c r="V235" s="13">
        <v>0</v>
      </c>
      <c r="W235" s="15">
        <v>100000</v>
      </c>
      <c r="Y235">
        <v>0.5</v>
      </c>
    </row>
    <row r="236" spans="1:25" x14ac:dyDescent="0.25">
      <c r="A236" t="s">
        <v>373</v>
      </c>
      <c r="C236" t="s">
        <v>350</v>
      </c>
      <c r="D236" t="s">
        <v>99</v>
      </c>
      <c r="E236" t="s">
        <v>343</v>
      </c>
      <c r="F236">
        <v>1</v>
      </c>
      <c r="G236">
        <v>184.7</v>
      </c>
      <c r="H236">
        <v>0</v>
      </c>
      <c r="I236">
        <v>184.7</v>
      </c>
      <c r="J236">
        <v>184.7</v>
      </c>
      <c r="K236" s="13">
        <v>1</v>
      </c>
      <c r="L236" s="13">
        <v>1</v>
      </c>
      <c r="M236" s="20"/>
      <c r="N236" s="20"/>
      <c r="O236" s="14">
        <v>6</v>
      </c>
      <c r="P236">
        <f t="shared" si="4"/>
        <v>860.56</v>
      </c>
      <c r="Q236" s="20">
        <v>1</v>
      </c>
      <c r="R236">
        <v>1.1620000000000001E-3</v>
      </c>
      <c r="S236">
        <v>1</v>
      </c>
      <c r="T236" s="15">
        <f t="shared" si="3"/>
        <v>1.1620340243562331E-3</v>
      </c>
      <c r="V236" s="13">
        <v>0</v>
      </c>
      <c r="W236" s="15">
        <v>100000</v>
      </c>
      <c r="Y236">
        <v>0.51</v>
      </c>
    </row>
    <row r="237" spans="1:25" x14ac:dyDescent="0.25">
      <c r="A237" t="s">
        <v>373</v>
      </c>
      <c r="C237" t="s">
        <v>351</v>
      </c>
      <c r="D237" t="s">
        <v>99</v>
      </c>
      <c r="E237" t="s">
        <v>343</v>
      </c>
      <c r="F237">
        <v>1</v>
      </c>
      <c r="G237">
        <v>502.5</v>
      </c>
      <c r="H237">
        <v>0</v>
      </c>
      <c r="I237">
        <v>502.5</v>
      </c>
      <c r="J237">
        <v>502.5</v>
      </c>
      <c r="K237" s="13">
        <v>1</v>
      </c>
      <c r="L237" s="13">
        <v>1</v>
      </c>
      <c r="M237" s="20"/>
      <c r="N237" s="20"/>
      <c r="O237" s="14">
        <v>6</v>
      </c>
      <c r="P237">
        <f t="shared" si="4"/>
        <v>860.56</v>
      </c>
      <c r="Q237" s="20">
        <v>1</v>
      </c>
      <c r="R237">
        <v>1.1620000000000001E-3</v>
      </c>
      <c r="S237">
        <v>1</v>
      </c>
      <c r="T237" s="15">
        <f t="shared" si="3"/>
        <v>1.1620340243562331E-3</v>
      </c>
      <c r="V237" s="13">
        <v>0</v>
      </c>
      <c r="W237" s="15">
        <v>100000</v>
      </c>
      <c r="Y237">
        <v>0.34</v>
      </c>
    </row>
    <row r="238" spans="1:25" x14ac:dyDescent="0.25">
      <c r="A238" t="s">
        <v>373</v>
      </c>
      <c r="C238" t="s">
        <v>352</v>
      </c>
      <c r="D238" t="s">
        <v>119</v>
      </c>
      <c r="E238" t="s">
        <v>343</v>
      </c>
      <c r="F238">
        <v>1</v>
      </c>
      <c r="G238">
        <v>133.30000000000001</v>
      </c>
      <c r="H238">
        <v>0</v>
      </c>
      <c r="I238">
        <v>133.30000000000001</v>
      </c>
      <c r="J238">
        <v>133.30000000000001</v>
      </c>
      <c r="K238" s="13">
        <v>1</v>
      </c>
      <c r="L238" s="13">
        <v>1</v>
      </c>
      <c r="M238" s="20"/>
      <c r="N238" s="20"/>
      <c r="O238" s="14">
        <v>6</v>
      </c>
      <c r="P238">
        <f t="shared" si="4"/>
        <v>860.56</v>
      </c>
      <c r="Q238" s="20">
        <v>1</v>
      </c>
      <c r="R238">
        <v>1.1620000000000001E-3</v>
      </c>
      <c r="S238">
        <v>1</v>
      </c>
      <c r="T238" s="15">
        <f t="shared" si="3"/>
        <v>1.1620340243562331E-3</v>
      </c>
      <c r="V238" s="13">
        <v>0</v>
      </c>
      <c r="W238" s="15">
        <v>100000</v>
      </c>
      <c r="Y238">
        <v>0.8</v>
      </c>
    </row>
    <row r="239" spans="1:25" x14ac:dyDescent="0.25">
      <c r="A239" t="s">
        <v>373</v>
      </c>
      <c r="C239" t="s">
        <v>353</v>
      </c>
      <c r="D239" t="s">
        <v>99</v>
      </c>
      <c r="E239" t="s">
        <v>343</v>
      </c>
      <c r="F239">
        <v>1</v>
      </c>
      <c r="G239">
        <v>545.6</v>
      </c>
      <c r="H239">
        <v>0</v>
      </c>
      <c r="I239">
        <v>545.6</v>
      </c>
      <c r="J239">
        <v>545.6</v>
      </c>
      <c r="K239" s="13">
        <v>1</v>
      </c>
      <c r="L239" s="13">
        <v>1</v>
      </c>
      <c r="M239" s="20"/>
      <c r="N239" s="20"/>
      <c r="O239" s="14">
        <v>6</v>
      </c>
      <c r="P239">
        <f t="shared" si="4"/>
        <v>860.56</v>
      </c>
      <c r="Q239" s="20">
        <v>1</v>
      </c>
      <c r="R239">
        <v>1.1620000000000001E-3</v>
      </c>
      <c r="S239">
        <v>1</v>
      </c>
      <c r="T239" s="15">
        <f t="shared" si="3"/>
        <v>1.1620340243562331E-3</v>
      </c>
      <c r="V239" s="13">
        <v>0</v>
      </c>
      <c r="W239" s="15">
        <v>100000</v>
      </c>
      <c r="Y239">
        <v>0.37</v>
      </c>
    </row>
    <row r="240" spans="1:25" x14ac:dyDescent="0.25">
      <c r="A240" t="s">
        <v>373</v>
      </c>
      <c r="C240" t="s">
        <v>354</v>
      </c>
      <c r="D240" t="s">
        <v>108</v>
      </c>
      <c r="E240" t="s">
        <v>343</v>
      </c>
      <c r="F240">
        <v>1</v>
      </c>
      <c r="G240">
        <v>40</v>
      </c>
      <c r="H240">
        <v>0</v>
      </c>
      <c r="I240">
        <v>40</v>
      </c>
      <c r="J240">
        <v>40</v>
      </c>
      <c r="K240" s="13">
        <v>1</v>
      </c>
      <c r="L240" s="13">
        <v>1</v>
      </c>
      <c r="M240" s="20"/>
      <c r="N240" s="20"/>
      <c r="O240" s="14">
        <v>6</v>
      </c>
      <c r="P240">
        <f t="shared" si="4"/>
        <v>860.56</v>
      </c>
      <c r="Q240" s="20">
        <v>1</v>
      </c>
      <c r="R240">
        <v>1.1620000000000001E-3</v>
      </c>
      <c r="S240">
        <v>1</v>
      </c>
      <c r="T240" s="15">
        <f t="shared" si="3"/>
        <v>1.1620340243562331E-3</v>
      </c>
      <c r="V240" s="13">
        <v>0</v>
      </c>
      <c r="W240" s="15">
        <v>100000</v>
      </c>
      <c r="Y240">
        <v>0.43</v>
      </c>
    </row>
    <row r="241" spans="1:25" x14ac:dyDescent="0.25">
      <c r="A241" t="s">
        <v>373</v>
      </c>
      <c r="C241" t="s">
        <v>355</v>
      </c>
      <c r="D241" t="s">
        <v>95</v>
      </c>
      <c r="E241" t="s">
        <v>356</v>
      </c>
      <c r="F241">
        <v>1</v>
      </c>
      <c r="G241">
        <v>13236</v>
      </c>
      <c r="H241">
        <v>0</v>
      </c>
      <c r="I241">
        <v>13236</v>
      </c>
      <c r="J241">
        <v>13236</v>
      </c>
      <c r="K241" s="13">
        <v>1</v>
      </c>
      <c r="L241" s="13">
        <v>1</v>
      </c>
      <c r="M241" s="20"/>
      <c r="N241" s="20"/>
      <c r="O241" s="14">
        <v>6</v>
      </c>
      <c r="P241">
        <f t="shared" si="4"/>
        <v>860.56</v>
      </c>
      <c r="Q241" s="20">
        <v>1</v>
      </c>
      <c r="R241">
        <v>1.1620000000000001E-3</v>
      </c>
      <c r="S241">
        <v>1</v>
      </c>
      <c r="T241" s="15">
        <f t="shared" si="3"/>
        <v>1.1620340243562331E-3</v>
      </c>
      <c r="V241" s="13">
        <v>0</v>
      </c>
      <c r="W241" s="15">
        <v>100000</v>
      </c>
      <c r="Y241">
        <v>0</v>
      </c>
    </row>
    <row r="242" spans="1:25" x14ac:dyDescent="0.25">
      <c r="A242" t="s">
        <v>373</v>
      </c>
      <c r="C242" t="s">
        <v>357</v>
      </c>
      <c r="D242" t="s">
        <v>99</v>
      </c>
      <c r="E242" t="s">
        <v>356</v>
      </c>
      <c r="F242">
        <v>1</v>
      </c>
      <c r="G242">
        <v>536</v>
      </c>
      <c r="H242">
        <v>0</v>
      </c>
      <c r="I242">
        <v>536</v>
      </c>
      <c r="J242">
        <v>536</v>
      </c>
      <c r="K242" s="13">
        <v>1</v>
      </c>
      <c r="L242" s="13">
        <v>1</v>
      </c>
      <c r="M242" s="20"/>
      <c r="N242" s="20"/>
      <c r="O242" s="14">
        <v>6</v>
      </c>
      <c r="P242">
        <f t="shared" si="4"/>
        <v>860.56</v>
      </c>
      <c r="Q242" s="20">
        <v>1</v>
      </c>
      <c r="R242">
        <v>1.1620000000000001E-3</v>
      </c>
      <c r="S242">
        <v>1</v>
      </c>
      <c r="T242" s="15">
        <f t="shared" si="3"/>
        <v>1.1620340243562331E-3</v>
      </c>
      <c r="V242" s="13">
        <v>0</v>
      </c>
      <c r="W242" s="15">
        <v>100000</v>
      </c>
      <c r="Y242">
        <v>0.56999999999999995</v>
      </c>
    </row>
    <row r="243" spans="1:25" x14ac:dyDescent="0.25">
      <c r="A243" t="s">
        <v>373</v>
      </c>
      <c r="C243" t="s">
        <v>358</v>
      </c>
      <c r="D243" t="s">
        <v>99</v>
      </c>
      <c r="E243" t="s">
        <v>356</v>
      </c>
      <c r="F243">
        <v>1</v>
      </c>
      <c r="G243">
        <v>641.70000000000005</v>
      </c>
      <c r="H243">
        <v>0</v>
      </c>
      <c r="I243">
        <v>641.70000000000005</v>
      </c>
      <c r="J243">
        <v>641.70000000000005</v>
      </c>
      <c r="K243" s="13">
        <v>1</v>
      </c>
      <c r="L243" s="13">
        <v>1</v>
      </c>
      <c r="M243" s="20"/>
      <c r="N243" s="20"/>
      <c r="O243" s="14">
        <v>6</v>
      </c>
      <c r="P243">
        <f t="shared" si="4"/>
        <v>860.56</v>
      </c>
      <c r="Q243" s="20">
        <v>1</v>
      </c>
      <c r="R243">
        <v>1.1620000000000001E-3</v>
      </c>
      <c r="S243">
        <v>1</v>
      </c>
      <c r="T243" s="15">
        <f t="shared" si="3"/>
        <v>1.1620340243562331E-3</v>
      </c>
      <c r="V243" s="13">
        <v>0</v>
      </c>
      <c r="W243" s="15">
        <v>100000</v>
      </c>
      <c r="Y243">
        <v>0.5</v>
      </c>
    </row>
    <row r="244" spans="1:25" x14ac:dyDescent="0.25">
      <c r="A244" t="s">
        <v>373</v>
      </c>
      <c r="C244" t="s">
        <v>359</v>
      </c>
      <c r="D244" t="s">
        <v>99</v>
      </c>
      <c r="E244" t="s">
        <v>356</v>
      </c>
      <c r="F244">
        <v>1</v>
      </c>
      <c r="G244">
        <v>3270</v>
      </c>
      <c r="H244">
        <v>0</v>
      </c>
      <c r="I244">
        <v>3270</v>
      </c>
      <c r="J244">
        <v>3270</v>
      </c>
      <c r="K244" s="13">
        <v>1</v>
      </c>
      <c r="L244" s="13">
        <v>1</v>
      </c>
      <c r="M244" s="20"/>
      <c r="N244" s="20"/>
      <c r="O244" s="14">
        <v>6</v>
      </c>
      <c r="P244">
        <f t="shared" si="4"/>
        <v>860.56</v>
      </c>
      <c r="Q244" s="20">
        <v>1</v>
      </c>
      <c r="R244">
        <v>1.1620000000000001E-3</v>
      </c>
      <c r="S244">
        <v>1</v>
      </c>
      <c r="T244" s="15">
        <f t="shared" si="3"/>
        <v>1.1620340243562331E-3</v>
      </c>
      <c r="V244" s="13">
        <v>0</v>
      </c>
      <c r="W244" s="15">
        <v>100000</v>
      </c>
      <c r="Y244">
        <v>0.04</v>
      </c>
    </row>
    <row r="245" spans="1:25" x14ac:dyDescent="0.25">
      <c r="A245" t="s">
        <v>373</v>
      </c>
      <c r="C245" t="s">
        <v>360</v>
      </c>
      <c r="D245" t="s">
        <v>99</v>
      </c>
      <c r="E245" t="s">
        <v>356</v>
      </c>
      <c r="F245">
        <v>1</v>
      </c>
      <c r="G245">
        <v>598</v>
      </c>
      <c r="H245">
        <v>0</v>
      </c>
      <c r="I245">
        <v>598</v>
      </c>
      <c r="J245">
        <v>598</v>
      </c>
      <c r="K245" s="13">
        <v>1</v>
      </c>
      <c r="L245" s="13">
        <v>1</v>
      </c>
      <c r="M245" s="20"/>
      <c r="N245" s="20"/>
      <c r="O245" s="14">
        <v>6</v>
      </c>
      <c r="P245">
        <f t="shared" si="4"/>
        <v>860.56</v>
      </c>
      <c r="Q245" s="20">
        <v>1</v>
      </c>
      <c r="R245">
        <v>1.1620000000000001E-3</v>
      </c>
      <c r="S245">
        <v>1</v>
      </c>
      <c r="T245" s="15">
        <f t="shared" si="3"/>
        <v>1.1620340243562331E-3</v>
      </c>
      <c r="V245" s="13">
        <v>0</v>
      </c>
      <c r="W245" s="15">
        <v>100000</v>
      </c>
      <c r="Y245">
        <v>0.59</v>
      </c>
    </row>
    <row r="246" spans="1:25" x14ac:dyDescent="0.25">
      <c r="A246" t="s">
        <v>373</v>
      </c>
      <c r="C246" t="s">
        <v>361</v>
      </c>
      <c r="D246" t="s">
        <v>99</v>
      </c>
      <c r="E246" t="s">
        <v>356</v>
      </c>
      <c r="F246">
        <v>1</v>
      </c>
      <c r="G246">
        <v>5983.1</v>
      </c>
      <c r="H246">
        <v>0</v>
      </c>
      <c r="I246">
        <v>5983.1</v>
      </c>
      <c r="J246">
        <v>5983.1</v>
      </c>
      <c r="K246" s="13">
        <v>1</v>
      </c>
      <c r="L246" s="13">
        <v>1</v>
      </c>
      <c r="M246" s="20"/>
      <c r="N246" s="20"/>
      <c r="O246" s="14">
        <v>6</v>
      </c>
      <c r="P246">
        <f t="shared" si="4"/>
        <v>860.56</v>
      </c>
      <c r="Q246" s="20">
        <v>1</v>
      </c>
      <c r="R246">
        <v>1.1620000000000001E-3</v>
      </c>
      <c r="S246">
        <v>1</v>
      </c>
      <c r="T246" s="15">
        <f t="shared" si="3"/>
        <v>1.1620340243562331E-3</v>
      </c>
      <c r="V246" s="13">
        <v>0</v>
      </c>
      <c r="W246" s="15">
        <v>100000</v>
      </c>
      <c r="Y246">
        <v>0.37</v>
      </c>
    </row>
    <row r="247" spans="1:25" x14ac:dyDescent="0.25">
      <c r="A247" t="s">
        <v>373</v>
      </c>
      <c r="C247" t="s">
        <v>362</v>
      </c>
      <c r="D247" t="s">
        <v>108</v>
      </c>
      <c r="E247" t="s">
        <v>356</v>
      </c>
      <c r="F247">
        <v>1</v>
      </c>
      <c r="G247">
        <v>730.4</v>
      </c>
      <c r="H247">
        <v>0</v>
      </c>
      <c r="I247">
        <v>730.4</v>
      </c>
      <c r="J247">
        <v>730.4</v>
      </c>
      <c r="K247" s="13">
        <v>1</v>
      </c>
      <c r="L247" s="13">
        <v>1</v>
      </c>
      <c r="M247" s="20"/>
      <c r="N247" s="20"/>
      <c r="O247" s="14">
        <v>6</v>
      </c>
      <c r="P247">
        <f t="shared" si="4"/>
        <v>860.56</v>
      </c>
      <c r="Q247" s="20">
        <v>1</v>
      </c>
      <c r="R247">
        <v>1.1620000000000001E-3</v>
      </c>
      <c r="S247">
        <v>1</v>
      </c>
      <c r="T247" s="15">
        <f t="shared" si="3"/>
        <v>1.1620340243562331E-3</v>
      </c>
      <c r="V247" s="13">
        <v>0</v>
      </c>
      <c r="W247" s="15">
        <v>100000</v>
      </c>
      <c r="Y247">
        <v>0.74</v>
      </c>
    </row>
    <row r="248" spans="1:25" x14ac:dyDescent="0.25">
      <c r="A248" t="s">
        <v>373</v>
      </c>
      <c r="C248" t="s">
        <v>363</v>
      </c>
      <c r="D248" t="s">
        <v>108</v>
      </c>
      <c r="E248" t="s">
        <v>356</v>
      </c>
      <c r="F248">
        <v>1</v>
      </c>
      <c r="G248">
        <v>11200</v>
      </c>
      <c r="H248">
        <v>0</v>
      </c>
      <c r="I248">
        <v>11200</v>
      </c>
      <c r="J248">
        <v>11200</v>
      </c>
      <c r="K248" s="13">
        <v>1</v>
      </c>
      <c r="L248" s="13">
        <v>1</v>
      </c>
      <c r="M248" s="20"/>
      <c r="N248" s="20"/>
      <c r="O248" s="14">
        <v>6</v>
      </c>
      <c r="P248">
        <f t="shared" si="4"/>
        <v>860.56</v>
      </c>
      <c r="Q248" s="20">
        <v>1</v>
      </c>
      <c r="R248">
        <v>1.1620000000000001E-3</v>
      </c>
      <c r="S248">
        <v>1</v>
      </c>
      <c r="T248" s="15">
        <f t="shared" si="3"/>
        <v>1.1620340243562331E-3</v>
      </c>
      <c r="V248" s="13">
        <v>0</v>
      </c>
      <c r="W248" s="15">
        <v>100000</v>
      </c>
      <c r="Y248">
        <v>0.09</v>
      </c>
    </row>
    <row r="249" spans="1:25" x14ac:dyDescent="0.25">
      <c r="A249" t="s">
        <v>373</v>
      </c>
      <c r="C249" t="s">
        <v>364</v>
      </c>
      <c r="D249" t="s">
        <v>108</v>
      </c>
      <c r="E249" t="s">
        <v>356</v>
      </c>
      <c r="F249">
        <v>1</v>
      </c>
      <c r="G249">
        <v>12855.4</v>
      </c>
      <c r="H249">
        <v>0</v>
      </c>
      <c r="I249">
        <v>12855.4</v>
      </c>
      <c r="J249">
        <v>12855.4</v>
      </c>
      <c r="K249" s="13">
        <v>1</v>
      </c>
      <c r="L249" s="13">
        <v>1</v>
      </c>
      <c r="M249" s="20"/>
      <c r="N249" s="20"/>
      <c r="O249" s="14">
        <v>6</v>
      </c>
      <c r="P249">
        <f t="shared" si="4"/>
        <v>860.56</v>
      </c>
      <c r="Q249" s="20">
        <v>1</v>
      </c>
      <c r="R249">
        <v>1.1620000000000001E-3</v>
      </c>
      <c r="S249">
        <v>1</v>
      </c>
      <c r="T249" s="15">
        <f t="shared" si="3"/>
        <v>1.1620340243562331E-3</v>
      </c>
      <c r="V249" s="13">
        <v>0</v>
      </c>
      <c r="W249" s="15">
        <v>100000</v>
      </c>
      <c r="Y249">
        <v>0.34</v>
      </c>
    </row>
    <row r="250" spans="1:25" x14ac:dyDescent="0.25">
      <c r="A250" t="s">
        <v>373</v>
      </c>
      <c r="C250" t="s">
        <v>365</v>
      </c>
      <c r="D250" t="s">
        <v>108</v>
      </c>
      <c r="E250" t="s">
        <v>356</v>
      </c>
      <c r="F250">
        <v>1</v>
      </c>
      <c r="G250">
        <v>1362.4</v>
      </c>
      <c r="H250">
        <v>0</v>
      </c>
      <c r="I250">
        <v>1362.4</v>
      </c>
      <c r="J250">
        <v>1362.4</v>
      </c>
      <c r="K250" s="13">
        <v>1</v>
      </c>
      <c r="L250" s="13">
        <v>1</v>
      </c>
      <c r="M250" s="20"/>
      <c r="N250" s="20"/>
      <c r="O250" s="14">
        <v>6</v>
      </c>
      <c r="P250">
        <f t="shared" si="4"/>
        <v>860.56</v>
      </c>
      <c r="Q250" s="20">
        <v>1</v>
      </c>
      <c r="R250">
        <v>1.1620000000000001E-3</v>
      </c>
      <c r="S250">
        <v>1</v>
      </c>
      <c r="T250" s="15">
        <f t="shared" si="3"/>
        <v>1.1620340243562331E-3</v>
      </c>
      <c r="V250" s="13">
        <v>0</v>
      </c>
      <c r="W250" s="15">
        <v>100000</v>
      </c>
      <c r="Y250">
        <v>0.85</v>
      </c>
    </row>
    <row r="251" spans="1:25" x14ac:dyDescent="0.25">
      <c r="A251" t="s">
        <v>373</v>
      </c>
      <c r="C251" t="s">
        <v>366</v>
      </c>
      <c r="D251" t="s">
        <v>98</v>
      </c>
      <c r="E251" t="s">
        <v>367</v>
      </c>
      <c r="F251">
        <v>1</v>
      </c>
      <c r="G251">
        <v>18</v>
      </c>
      <c r="H251">
        <v>0</v>
      </c>
      <c r="I251">
        <v>18</v>
      </c>
      <c r="J251">
        <v>18</v>
      </c>
      <c r="K251" s="13">
        <v>1</v>
      </c>
      <c r="L251" s="13">
        <v>1</v>
      </c>
      <c r="M251" s="20"/>
      <c r="N251" s="20"/>
      <c r="O251" s="14">
        <v>6</v>
      </c>
      <c r="P251">
        <f t="shared" si="4"/>
        <v>860.56</v>
      </c>
      <c r="Q251" s="20">
        <v>1</v>
      </c>
      <c r="R251">
        <v>1.1620000000000001E-3</v>
      </c>
      <c r="S251">
        <v>1</v>
      </c>
      <c r="T251" s="15">
        <f t="shared" si="3"/>
        <v>1.1620340243562331E-3</v>
      </c>
      <c r="V251" s="13">
        <v>0</v>
      </c>
      <c r="W251" s="15">
        <v>100000</v>
      </c>
      <c r="Y251">
        <v>1.04</v>
      </c>
    </row>
    <row r="252" spans="1:25" x14ac:dyDescent="0.25">
      <c r="A252" t="s">
        <v>373</v>
      </c>
      <c r="C252" t="s">
        <v>368</v>
      </c>
      <c r="D252" t="s">
        <v>99</v>
      </c>
      <c r="E252" t="s">
        <v>367</v>
      </c>
      <c r="F252">
        <v>1</v>
      </c>
      <c r="G252">
        <v>539</v>
      </c>
      <c r="H252">
        <v>0</v>
      </c>
      <c r="I252">
        <v>539</v>
      </c>
      <c r="J252">
        <v>539</v>
      </c>
      <c r="K252" s="13">
        <v>1</v>
      </c>
      <c r="L252" s="13">
        <v>1</v>
      </c>
      <c r="M252" s="20"/>
      <c r="N252" s="20"/>
      <c r="O252" s="14">
        <v>6</v>
      </c>
      <c r="P252">
        <f t="shared" si="4"/>
        <v>860.56</v>
      </c>
      <c r="Q252" s="20">
        <v>1</v>
      </c>
      <c r="R252">
        <v>1.1620000000000001E-3</v>
      </c>
      <c r="S252">
        <v>1</v>
      </c>
      <c r="T252" s="15">
        <f t="shared" si="3"/>
        <v>1.1620340243562331E-3</v>
      </c>
      <c r="V252" s="13">
        <v>0</v>
      </c>
      <c r="W252" s="15">
        <v>100000</v>
      </c>
      <c r="Y252">
        <v>0.43</v>
      </c>
    </row>
    <row r="253" spans="1:25" x14ac:dyDescent="0.25">
      <c r="A253" t="s">
        <v>373</v>
      </c>
      <c r="C253" t="s">
        <v>369</v>
      </c>
      <c r="D253" t="s">
        <v>99</v>
      </c>
      <c r="E253" t="s">
        <v>367</v>
      </c>
      <c r="F253">
        <v>1</v>
      </c>
      <c r="G253">
        <v>1030</v>
      </c>
      <c r="H253">
        <v>0</v>
      </c>
      <c r="I253">
        <v>1030</v>
      </c>
      <c r="J253">
        <v>1030</v>
      </c>
      <c r="K253" s="13">
        <v>1</v>
      </c>
      <c r="L253" s="13">
        <v>1</v>
      </c>
      <c r="M253" s="20"/>
      <c r="N253" s="20"/>
      <c r="O253" s="14">
        <v>6</v>
      </c>
      <c r="P253">
        <f t="shared" si="4"/>
        <v>860.56</v>
      </c>
      <c r="Q253" s="20">
        <v>1</v>
      </c>
      <c r="R253">
        <v>1.1620000000000001E-3</v>
      </c>
      <c r="S253">
        <v>1</v>
      </c>
      <c r="T253" s="15">
        <f t="shared" si="3"/>
        <v>1.1620340243562331E-3</v>
      </c>
      <c r="V253" s="13">
        <v>0</v>
      </c>
      <c r="W253" s="15">
        <v>100000</v>
      </c>
      <c r="Y253">
        <v>0.34</v>
      </c>
    </row>
    <row r="254" spans="1:25" x14ac:dyDescent="0.25">
      <c r="A254" t="s">
        <v>373</v>
      </c>
      <c r="C254" t="s">
        <v>370</v>
      </c>
      <c r="D254" t="s">
        <v>99</v>
      </c>
      <c r="E254" t="s">
        <v>367</v>
      </c>
      <c r="F254">
        <v>1</v>
      </c>
      <c r="G254">
        <v>12</v>
      </c>
      <c r="H254">
        <v>0</v>
      </c>
      <c r="I254">
        <v>12</v>
      </c>
      <c r="J254">
        <v>12</v>
      </c>
      <c r="K254" s="13">
        <v>1</v>
      </c>
      <c r="L254" s="13">
        <v>1</v>
      </c>
      <c r="M254" s="20"/>
      <c r="N254" s="20"/>
      <c r="O254" s="14">
        <v>6</v>
      </c>
      <c r="P254">
        <f t="shared" si="4"/>
        <v>860.56</v>
      </c>
      <c r="Q254" s="20">
        <v>1</v>
      </c>
      <c r="R254">
        <v>1.1620000000000001E-3</v>
      </c>
      <c r="S254">
        <v>1</v>
      </c>
      <c r="T254" s="15">
        <f t="shared" si="3"/>
        <v>1.1620340243562331E-3</v>
      </c>
      <c r="V254" s="13">
        <v>0</v>
      </c>
      <c r="W254" s="15">
        <v>100000</v>
      </c>
      <c r="Y254">
        <v>0.59</v>
      </c>
    </row>
    <row r="255" spans="1:25" x14ac:dyDescent="0.25">
      <c r="A255" t="s">
        <v>373</v>
      </c>
      <c r="C255" t="s">
        <v>371</v>
      </c>
      <c r="D255" t="s">
        <v>119</v>
      </c>
      <c r="E255" t="s">
        <v>367</v>
      </c>
      <c r="F255">
        <v>1</v>
      </c>
      <c r="G255">
        <v>389</v>
      </c>
      <c r="H255">
        <v>0</v>
      </c>
      <c r="I255">
        <v>389</v>
      </c>
      <c r="J255">
        <v>389</v>
      </c>
      <c r="K255" s="13">
        <v>1</v>
      </c>
      <c r="L255" s="13">
        <v>1</v>
      </c>
      <c r="M255" s="20"/>
      <c r="N255" s="20"/>
      <c r="O255" s="14">
        <v>6</v>
      </c>
      <c r="P255">
        <f t="shared" si="4"/>
        <v>860.56</v>
      </c>
      <c r="Q255" s="20">
        <v>1</v>
      </c>
      <c r="R255">
        <v>1.1620000000000001E-3</v>
      </c>
      <c r="S255">
        <v>1</v>
      </c>
      <c r="T255" s="15">
        <f t="shared" si="3"/>
        <v>1.1620340243562331E-3</v>
      </c>
      <c r="V255" s="13">
        <v>0</v>
      </c>
      <c r="W255" s="15">
        <v>100000</v>
      </c>
      <c r="Y255">
        <v>0.8</v>
      </c>
    </row>
    <row r="256" spans="1:25" x14ac:dyDescent="0.25">
      <c r="A256" t="s">
        <v>373</v>
      </c>
      <c r="C256" t="s">
        <v>372</v>
      </c>
      <c r="D256" t="s">
        <v>99</v>
      </c>
      <c r="E256" t="s">
        <v>367</v>
      </c>
      <c r="F256">
        <v>1</v>
      </c>
      <c r="G256">
        <v>408</v>
      </c>
      <c r="H256">
        <v>0</v>
      </c>
      <c r="I256">
        <v>408</v>
      </c>
      <c r="J256">
        <v>408</v>
      </c>
      <c r="K256" s="13">
        <v>1</v>
      </c>
      <c r="L256" s="13">
        <v>1</v>
      </c>
      <c r="M256" s="20"/>
      <c r="N256" s="20"/>
      <c r="O256" s="14">
        <v>6</v>
      </c>
      <c r="P256">
        <f t="shared" si="4"/>
        <v>860.56</v>
      </c>
      <c r="Q256" s="20">
        <v>1</v>
      </c>
      <c r="R256">
        <v>1.1620000000000001E-3</v>
      </c>
      <c r="S256">
        <v>1</v>
      </c>
      <c r="T256" s="15">
        <f t="shared" si="3"/>
        <v>1.1620340243562331E-3</v>
      </c>
      <c r="V256" s="13">
        <v>0</v>
      </c>
      <c r="W256" s="15">
        <v>100000</v>
      </c>
      <c r="Y256">
        <v>0.35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2025-10-30T15:00:24Z</dcterms:created>
  <dcterms:modified xsi:type="dcterms:W3CDTF">2026-02-15T19:16:47Z</dcterms:modified>
</cp:coreProperties>
</file>