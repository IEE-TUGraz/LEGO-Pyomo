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elixAuer\Git\LEGO-Pyomo2\data\hydroExample\"/>
    </mc:Choice>
  </mc:AlternateContent>
  <xr:revisionPtr revIDLastSave="0" documentId="13_ncr:1_{67E1F8A9-FFA3-4A30-8416-4FB65BB104E0}" xr6:coauthVersionLast="47" xr6:coauthVersionMax="47" xr10:uidLastSave="{00000000-0000-0000-0000-000000000000}"/>
  <bookViews>
    <workbookView xWindow="34230" yWindow="-21705" windowWidth="38640" windowHeight="21120" xr2:uid="{00000000-000D-0000-FFFF-FFFF00000000}"/>
  </bookViews>
  <sheets>
    <sheet name="Scenario_201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1" l="1"/>
  <c r="X39" i="1"/>
  <c r="X17" i="1"/>
  <c r="X15" i="1"/>
  <c r="X9" i="1"/>
  <c r="X10" i="1"/>
  <c r="X11" i="1"/>
  <c r="X12" i="1"/>
  <c r="X13" i="1"/>
  <c r="X14" i="1"/>
  <c r="X16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40" i="1"/>
  <c r="X42" i="1"/>
  <c r="X43" i="1"/>
  <c r="X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If a line has a value in this column, it is not read in (i.e., does not exist).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<sst xmlns="http://schemas.openxmlformats.org/spreadsheetml/2006/main" count="334" uniqueCount="141">
  <si>
    <t>Format:</t>
  </si>
  <si>
    <t>Excl.</t>
  </si>
  <si>
    <t>Database ID</t>
  </si>
  <si>
    <t>Generator</t>
  </si>
  <si>
    <t>Technology</t>
  </si>
  <si>
    <t>Node</t>
  </si>
  <si>
    <t>ExisUnits</t>
  </si>
  <si>
    <t>MaxProd</t>
  </si>
  <si>
    <t>MinProd</t>
  </si>
  <si>
    <t>Qmax</t>
  </si>
  <si>
    <t>Qmin</t>
  </si>
  <si>
    <t>MinReserve</t>
  </si>
  <si>
    <t>Initial Reserve</t>
  </si>
  <si>
    <t>IsLDES</t>
  </si>
  <si>
    <t>EnableInvest</t>
  </si>
  <si>
    <t>MaxInvest</t>
  </si>
  <si>
    <t>InvestCostPerMW</t>
  </si>
  <si>
    <t>InvestCostPerMWh</t>
  </si>
  <si>
    <t>Energy to Power Ratio</t>
  </si>
  <si>
    <t>FirmCapCoef</t>
  </si>
  <si>
    <t>Commission Year</t>
  </si>
  <si>
    <t>Decommission Year</t>
  </si>
  <si>
    <t>Latitude</t>
  </si>
  <si>
    <t>Longitude</t>
  </si>
  <si>
    <t>Data Package</t>
  </si>
  <si>
    <t>Data Source</t>
  </si>
  <si>
    <t>excl</t>
  </si>
  <si>
    <t>id</t>
  </si>
  <si>
    <t>g</t>
  </si>
  <si>
    <t>tec</t>
  </si>
  <si>
    <t>i</t>
  </si>
  <si>
    <t>IniReserve</t>
  </si>
  <si>
    <t>Ene2PowRatio</t>
  </si>
  <si>
    <t>YearCom</t>
  </si>
  <si>
    <t>YearDecom</t>
  </si>
  <si>
    <t>lat</t>
  </si>
  <si>
    <t>lon</t>
  </si>
  <si>
    <t>dataPackage</t>
  </si>
  <si>
    <t>dataSource</t>
  </si>
  <si>
    <t>ID within database</t>
  </si>
  <si>
    <t>Generator/Unit name</t>
  </si>
  <si>
    <t>Corresponding technology</t>
  </si>
  <si>
    <t>Name of node</t>
  </si>
  <si>
    <t>Number of existing units</t>
  </si>
  <si>
    <t>Maximum active power output of the unit</t>
  </si>
  <si>
    <t>Minimum active power output of the unit</t>
  </si>
  <si>
    <t>Maximum consumption of the unit</t>
  </si>
  <si>
    <t>Maximum reactive power output of the unit</t>
  </si>
  <si>
    <t>Minimum reactive power output of the unit</t>
  </si>
  <si>
    <t>Minimum reserve of the storage unit</t>
  </si>
  <si>
    <t>Initial reserve of the storage unit</t>
  </si>
  <si>
    <t>Whether the storage unit is a long-duration energy storage (1) or not (0)</t>
  </si>
  <si>
    <t>Operation and maintenance cost of the unit</t>
  </si>
  <si>
    <t>Whether the model can invest in the unit (1) or not (0)</t>
  </si>
  <si>
    <t>Maximum number of units that can be invested in</t>
  </si>
  <si>
    <t>Annualized investment cost per MW of MaxProd</t>
  </si>
  <si>
    <t>Annualized investment cost per MWh of storage capacity</t>
  </si>
  <si>
    <t>Energy to power ratio of the storage unit</t>
  </si>
  <si>
    <t>Firm capacity coefficient of the unit</t>
  </si>
  <si>
    <t>Year where it is commissioned (1.1.xxxx)</t>
  </si>
  <si>
    <t>Year where it is decommissioned (31.12.xxxx)</t>
  </si>
  <si>
    <t>Which package this belongs to</t>
  </si>
  <si>
    <t>Where the data for the entry comes from</t>
  </si>
  <si>
    <t>Filled automatically by database</t>
  </si>
  <si>
    <t>-</t>
  </si>
  <si>
    <t>Scenario-dependent</t>
  </si>
  <si>
    <t>[db-key]</t>
  </si>
  <si>
    <t>[g]</t>
  </si>
  <si>
    <t>[tec]</t>
  </si>
  <si>
    <t>[i]</t>
  </si>
  <si>
    <t>[0-N]</t>
  </si>
  <si>
    <t>[%, 0-1]</t>
  </si>
  <si>
    <t>[MVAr]</t>
  </si>
  <si>
    <t>[0, 1]</t>
  </si>
  <si>
    <t>[€/MWh]</t>
  </si>
  <si>
    <t>[€/MW]</t>
  </si>
  <si>
    <t>[h]</t>
  </si>
  <si>
    <t>[Year]</t>
  </si>
  <si>
    <t>[°]</t>
  </si>
  <si>
    <t>[dataPackage]</t>
  </si>
  <si>
    <t>[dataSource]</t>
  </si>
  <si>
    <t>Hydro</t>
  </si>
  <si>
    <t>Power Factor Turbine</t>
  </si>
  <si>
    <t>PowerFactorTurbine</t>
  </si>
  <si>
    <t>Power Factor Pump</t>
  </si>
  <si>
    <t>PowerFactorPump</t>
  </si>
  <si>
    <t>Maximum Pumping</t>
  </si>
  <si>
    <t>v0.0.1</t>
  </si>
  <si>
    <t>OMVarCostTurbine</t>
  </si>
  <si>
    <t>OMVarCostPump</t>
  </si>
  <si>
    <t>[m^3]</t>
  </si>
  <si>
    <t>[€/m^3]</t>
  </si>
  <si>
    <t>[MWh/m^3]</t>
  </si>
  <si>
    <t>Storage Capacity</t>
  </si>
  <si>
    <t>StorageCapacity</t>
  </si>
  <si>
    <t>Capacity of the water storage of the unit</t>
  </si>
  <si>
    <t>Power - Hydro Assets</t>
  </si>
  <si>
    <t>4 Altenmarkt</t>
  </si>
  <si>
    <t>10 Arnstein-KW</t>
  </si>
  <si>
    <t>26 Bodendorf paal</t>
  </si>
  <si>
    <t>37 Dionysen-KW</t>
  </si>
  <si>
    <t>53 Fisching-KW</t>
  </si>
  <si>
    <t>59 Friesach -PP</t>
  </si>
  <si>
    <t>63 Gabersdorf-PP</t>
  </si>
  <si>
    <t>79 Gössendorf</t>
  </si>
  <si>
    <t>81 Gralla-KW</t>
  </si>
  <si>
    <t>82 Gratkorn</t>
  </si>
  <si>
    <t>83 Graz puntigam</t>
  </si>
  <si>
    <t>99 Hierzman-Speicher</t>
  </si>
  <si>
    <t>100 Hintermuhr</t>
  </si>
  <si>
    <t>109 Kalsdorf</t>
  </si>
  <si>
    <t>161 Laufnitzdorf-KW</t>
  </si>
  <si>
    <t>166 Lebring-KW</t>
  </si>
  <si>
    <t>170 Leoben-KW</t>
  </si>
  <si>
    <t>210 Obervogau</t>
  </si>
  <si>
    <t>216 Pack</t>
  </si>
  <si>
    <t>225 Peggau-KW</t>
  </si>
  <si>
    <t>228 Pernegg-KW</t>
  </si>
  <si>
    <t>230 Pöls</t>
  </si>
  <si>
    <t>233 Rabenstein-KW</t>
  </si>
  <si>
    <t>244 Retznei</t>
  </si>
  <si>
    <t>342 Spielfeld-KW</t>
  </si>
  <si>
    <t>344 St. Georgen</t>
  </si>
  <si>
    <t>346 St, Martin-KW</t>
  </si>
  <si>
    <t>376 Stübing</t>
  </si>
  <si>
    <t>386 Teigitschmühle</t>
  </si>
  <si>
    <t>414 Vordernberg</t>
  </si>
  <si>
    <t>433 Weinzoedl-KW</t>
  </si>
  <si>
    <t>435 Weissenegg</t>
  </si>
  <si>
    <t>714 Unzmarkt Kraftwerk</t>
  </si>
  <si>
    <t>734 Zederhaus</t>
  </si>
  <si>
    <t>743 Arnstein</t>
  </si>
  <si>
    <t>190 Mellach und Kuehlwasserturbine-KW</t>
  </si>
  <si>
    <t>MaxProdWater</t>
  </si>
  <si>
    <t>MinProdWater</t>
  </si>
  <si>
    <t>MaxPumpWater</t>
  </si>
  <si>
    <t>StylizedAustriaInEurope</t>
  </si>
  <si>
    <t>Base</t>
  </si>
  <si>
    <t>Nod_STMK</t>
  </si>
  <si>
    <t>How much MWh are produced per m^3 of water?</t>
  </si>
  <si>
    <t>How much MWh are stored per m^3 of water?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</si>
</sst>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9" x14ac:knownFonts="1">
    <font>
      <sz val="11"/>
      <color theme="1"/>
      <name val="Calibri"/>
      <family val="2"/>
      <scheme val="minor"/>
    </font>
    <font>
      <b/>
      <sz val="11"/>
      <name val="Aptos"/>
      <family val="2"/>
    </font>
    <font>
      <i/>
      <sz val="11"/>
      <name val="Aptos"/>
      <family val="2"/>
    </font>
    <font>
      <sz val="11"/>
      <color rgb="FF0000FF"/>
      <name val="Aptos"/>
      <family val="2"/>
    </font>
    <font>
      <b/>
      <sz val="18"/>
      <color rgb="FFFFFFFF"/>
      <name val="Aptos"/>
      <family val="2"/>
    </font>
    <font>
      <sz val="11"/>
      <name val="Aptos"/>
      <family val="2"/>
    </font>
    <font>
      <sz val="8"/>
      <name val="Calibri"/>
      <family val="2"/>
      <scheme val="minor"/>
    </font>
    <font>
      <sz val="11"/>
      <name val="Aptos"/>
      <family val="2"/>
    </font>
    <font>
      <sz val="11"/>
      <color rgb="FF0000FF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8CCE4"/>
        <bgColor rgb="FFB8CCE4"/>
      </patternFill>
    </fill>
    <fill>
      <patternFill patternType="solid">
        <fgColor rgb="FFCCFFCC"/>
        <bgColor rgb="FFCC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B8CC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4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2" fillId="5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6" borderId="0" xfId="0" applyNumberFormat="1" applyFont="1" applyFill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0" fontId="5" fillId="6" borderId="0" xfId="0" applyFont="1" applyFill="1" applyAlignment="1">
      <alignment indent="1"/>
    </xf>
    <xf numFmtId="0" fontId="7" fillId="7" borderId="0" xfId="0" applyFont="1" applyFill="1" applyAlignment="1">
      <alignment indent="1"/>
    </xf>
    <xf numFmtId="0" fontId="7" fillId="5" borderId="0" xfId="0" applyFont="1" applyFill="1" applyAlignment="1">
      <alignment indent="1"/>
    </xf>
    <xf numFmtId="166" fontId="5" fillId="6" borderId="0" xfId="0" applyNumberFormat="1" applyFont="1" applyFill="1" applyAlignment="1">
      <alignment horizontal="right" vertical="center"/>
    </xf>
    <xf numFmtId="167" fontId="5" fillId="6" borderId="0" xfId="0" applyNumberFormat="1" applyFont="1" applyFill="1" applyAlignment="1">
      <alignment horizontal="right" vertical="center"/>
    </xf>
    <xf numFmtId="0" fontId="0" fillId="8" borderId="0" xfId="0" applyFill="1"/>
    <xf numFmtId="0" fontId="8" fillId="5" borderId="0" xfId="0" applyFont="1" applyFill="1" applyAlignment="1">
      <alignment horizontal="center" vertical="center"/>
    </xf>
    <xf numFmtId="2" fontId="5" fillId="9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AE43"/>
  <sheetViews>
    <sheetView showGridLines="0" tabSelected="1" zoomScaleNormal="10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5.5703125" customWidth="1"/>
    <col min="2" max="2" width="19.7109375" customWidth="1"/>
    <col min="3" max="3" width="29.85546875" customWidth="1"/>
    <col min="4" max="6" width="15.7109375" customWidth="1"/>
    <col min="7" max="7" width="17.42578125" customWidth="1"/>
    <col min="8" max="9" width="15.7109375" customWidth="1"/>
    <col min="10" max="12" width="21.7109375" customWidth="1"/>
    <col min="13" max="16" width="15.7109375" customWidth="1"/>
    <col min="17" max="17" width="20.7109375" customWidth="1"/>
    <col min="18" max="18" width="20.42578125" customWidth="1"/>
    <col min="19" max="19" width="20.5703125" customWidth="1"/>
    <col min="20" max="21" width="15.7109375" customWidth="1"/>
    <col min="22" max="23" width="20.7109375" customWidth="1"/>
    <col min="24" max="24" width="22.7109375" customWidth="1"/>
    <col min="25" max="25" width="15.7109375" customWidth="1"/>
    <col min="26" max="27" width="20.140625" customWidth="1"/>
    <col min="28" max="28" width="20.42578125" customWidth="1"/>
    <col min="29" max="29" width="19.42578125" customWidth="1"/>
    <col min="30" max="31" width="24.5703125" customWidth="1"/>
  </cols>
  <sheetData>
    <row r="1" spans="1:31" ht="24" customHeight="1" x14ac:dyDescent="0.4">
      <c r="A1" s="1"/>
      <c r="B1" s="2" t="s">
        <v>96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x14ac:dyDescent="0.25">
      <c r="B2" s="3" t="s">
        <v>0</v>
      </c>
      <c r="C2" s="4" t="s">
        <v>87</v>
      </c>
    </row>
    <row r="3" spans="1:31" x14ac:dyDescent="0.2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86</v>
      </c>
      <c r="J3" s="5" t="s">
        <v>82</v>
      </c>
      <c r="K3" s="5" t="s">
        <v>84</v>
      </c>
      <c r="L3" s="5" t="s">
        <v>93</v>
      </c>
      <c r="M3" s="5" t="s">
        <v>9</v>
      </c>
      <c r="N3" s="5" t="s">
        <v>10</v>
      </c>
      <c r="O3" s="5" t="s">
        <v>11</v>
      </c>
      <c r="P3" s="5" t="s">
        <v>12</v>
      </c>
      <c r="Q3" s="5" t="s">
        <v>13</v>
      </c>
      <c r="R3" s="5" t="s">
        <v>88</v>
      </c>
      <c r="S3" s="5" t="s">
        <v>89</v>
      </c>
      <c r="T3" s="5" t="s">
        <v>14</v>
      </c>
      <c r="U3" s="5" t="s">
        <v>15</v>
      </c>
      <c r="V3" s="5" t="s">
        <v>16</v>
      </c>
      <c r="W3" s="5" t="s">
        <v>17</v>
      </c>
      <c r="X3" s="5" t="s">
        <v>18</v>
      </c>
      <c r="Y3" s="5" t="s">
        <v>19</v>
      </c>
      <c r="Z3" s="5" t="s">
        <v>20</v>
      </c>
      <c r="AA3" s="5" t="s">
        <v>21</v>
      </c>
      <c r="AB3" s="5" t="s">
        <v>22</v>
      </c>
      <c r="AC3" s="5" t="s">
        <v>23</v>
      </c>
      <c r="AD3" s="5" t="s">
        <v>24</v>
      </c>
      <c r="AE3" s="5" t="s">
        <v>25</v>
      </c>
    </row>
    <row r="4" spans="1:31" x14ac:dyDescent="0.25">
      <c r="A4" s="6" t="s">
        <v>26</v>
      </c>
      <c r="B4" s="6" t="s">
        <v>27</v>
      </c>
      <c r="C4" s="6" t="s">
        <v>28</v>
      </c>
      <c r="D4" s="6" t="s">
        <v>29</v>
      </c>
      <c r="E4" s="6" t="s">
        <v>30</v>
      </c>
      <c r="F4" s="6" t="s">
        <v>6</v>
      </c>
      <c r="G4" s="6" t="s">
        <v>133</v>
      </c>
      <c r="H4" s="6" t="s">
        <v>134</v>
      </c>
      <c r="I4" s="6" t="s">
        <v>135</v>
      </c>
      <c r="J4" s="6" t="s">
        <v>83</v>
      </c>
      <c r="K4" s="6" t="s">
        <v>85</v>
      </c>
      <c r="L4" s="6" t="s">
        <v>94</v>
      </c>
      <c r="M4" s="6" t="s">
        <v>9</v>
      </c>
      <c r="N4" s="6" t="s">
        <v>10</v>
      </c>
      <c r="O4" s="6" t="s">
        <v>11</v>
      </c>
      <c r="P4" s="6" t="s">
        <v>31</v>
      </c>
      <c r="Q4" s="6" t="s">
        <v>13</v>
      </c>
      <c r="R4" s="6" t="s">
        <v>88</v>
      </c>
      <c r="S4" s="6" t="s">
        <v>89</v>
      </c>
      <c r="T4" s="6" t="s">
        <v>14</v>
      </c>
      <c r="U4" s="6" t="s">
        <v>15</v>
      </c>
      <c r="V4" s="6" t="s">
        <v>16</v>
      </c>
      <c r="W4" s="6" t="s">
        <v>17</v>
      </c>
      <c r="X4" s="6" t="s">
        <v>32</v>
      </c>
      <c r="Y4" s="6" t="s">
        <v>19</v>
      </c>
      <c r="Z4" s="6" t="s">
        <v>33</v>
      </c>
      <c r="AA4" s="6" t="s">
        <v>34</v>
      </c>
      <c r="AB4" s="6" t="s">
        <v>35</v>
      </c>
      <c r="AC4" s="6" t="s">
        <v>36</v>
      </c>
      <c r="AD4" s="6" t="s">
        <v>37</v>
      </c>
      <c r="AE4" s="6" t="s">
        <v>38</v>
      </c>
    </row>
    <row r="5" spans="1:31" ht="60" customHeight="1" x14ac:dyDescent="0.25">
      <c r="A5" s="7"/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45</v>
      </c>
      <c r="I5" s="7" t="s">
        <v>46</v>
      </c>
      <c r="J5" s="7" t="s">
        <v>139</v>
      </c>
      <c r="K5" s="7" t="s">
        <v>140</v>
      </c>
      <c r="L5" s="7" t="s">
        <v>95</v>
      </c>
      <c r="M5" s="7" t="s">
        <v>47</v>
      </c>
      <c r="N5" s="7" t="s">
        <v>48</v>
      </c>
      <c r="O5" s="7" t="s">
        <v>49</v>
      </c>
      <c r="P5" s="7" t="s">
        <v>50</v>
      </c>
      <c r="Q5" s="7" t="s">
        <v>51</v>
      </c>
      <c r="R5" s="7" t="s">
        <v>52</v>
      </c>
      <c r="S5" s="7" t="s">
        <v>52</v>
      </c>
      <c r="T5" s="7" t="s">
        <v>53</v>
      </c>
      <c r="U5" s="7" t="s">
        <v>54</v>
      </c>
      <c r="V5" s="7" t="s">
        <v>55</v>
      </c>
      <c r="W5" s="7" t="s">
        <v>56</v>
      </c>
      <c r="X5" s="7" t="s">
        <v>57</v>
      </c>
      <c r="Y5" s="7" t="s">
        <v>58</v>
      </c>
      <c r="Z5" s="7" t="s">
        <v>59</v>
      </c>
      <c r="AA5" s="7" t="s">
        <v>60</v>
      </c>
      <c r="AB5" s="7" t="s">
        <v>22</v>
      </c>
      <c r="AC5" s="7" t="s">
        <v>23</v>
      </c>
      <c r="AD5" s="7" t="s">
        <v>61</v>
      </c>
      <c r="AE5" s="7" t="s">
        <v>62</v>
      </c>
    </row>
    <row r="6" spans="1:31" ht="30" customHeight="1" x14ac:dyDescent="0.25">
      <c r="A6" s="8"/>
      <c r="B6" s="8" t="s">
        <v>63</v>
      </c>
      <c r="C6" s="8" t="s">
        <v>64</v>
      </c>
      <c r="D6" s="8" t="s">
        <v>64</v>
      </c>
      <c r="E6" s="8" t="s">
        <v>64</v>
      </c>
      <c r="F6" s="8" t="s">
        <v>65</v>
      </c>
      <c r="G6" s="8" t="s">
        <v>65</v>
      </c>
      <c r="H6" s="8" t="s">
        <v>65</v>
      </c>
      <c r="I6" s="8" t="s">
        <v>65</v>
      </c>
      <c r="J6" s="8" t="s">
        <v>65</v>
      </c>
      <c r="K6" s="8" t="s">
        <v>65</v>
      </c>
      <c r="L6" s="8"/>
      <c r="M6" s="8" t="s">
        <v>65</v>
      </c>
      <c r="N6" s="8" t="s">
        <v>65</v>
      </c>
      <c r="O6" s="8" t="s">
        <v>65</v>
      </c>
      <c r="P6" s="8" t="s">
        <v>65</v>
      </c>
      <c r="Q6" s="8" t="s">
        <v>65</v>
      </c>
      <c r="R6" s="8" t="s">
        <v>65</v>
      </c>
      <c r="S6" s="8" t="s">
        <v>65</v>
      </c>
      <c r="T6" s="8" t="s">
        <v>65</v>
      </c>
      <c r="U6" s="8" t="s">
        <v>65</v>
      </c>
      <c r="V6" s="8" t="s">
        <v>65</v>
      </c>
      <c r="W6" s="8" t="s">
        <v>65</v>
      </c>
      <c r="X6" s="8" t="s">
        <v>65</v>
      </c>
      <c r="Y6" s="8" t="s">
        <v>65</v>
      </c>
      <c r="Z6" s="8" t="s">
        <v>65</v>
      </c>
      <c r="AA6" s="8" t="s">
        <v>65</v>
      </c>
      <c r="AB6" s="8" t="s">
        <v>64</v>
      </c>
      <c r="AC6" s="8" t="s">
        <v>64</v>
      </c>
      <c r="AD6" s="8" t="s">
        <v>65</v>
      </c>
      <c r="AE6" s="8" t="s">
        <v>65</v>
      </c>
    </row>
    <row r="7" spans="1:31" x14ac:dyDescent="0.25">
      <c r="A7" s="9"/>
      <c r="B7" s="9" t="s">
        <v>66</v>
      </c>
      <c r="C7" s="9" t="s">
        <v>67</v>
      </c>
      <c r="D7" s="9" t="s">
        <v>68</v>
      </c>
      <c r="E7" s="9" t="s">
        <v>69</v>
      </c>
      <c r="F7" s="9" t="s">
        <v>70</v>
      </c>
      <c r="G7" s="9" t="s">
        <v>90</v>
      </c>
      <c r="H7" s="9" t="s">
        <v>90</v>
      </c>
      <c r="I7" s="9" t="s">
        <v>90</v>
      </c>
      <c r="J7" s="9" t="s">
        <v>92</v>
      </c>
      <c r="K7" s="9" t="s">
        <v>92</v>
      </c>
      <c r="L7" s="23" t="s">
        <v>90</v>
      </c>
      <c r="M7" s="9" t="s">
        <v>72</v>
      </c>
      <c r="N7" s="9" t="s">
        <v>72</v>
      </c>
      <c r="O7" s="9" t="s">
        <v>71</v>
      </c>
      <c r="P7" s="9" t="s">
        <v>71</v>
      </c>
      <c r="Q7" s="9" t="s">
        <v>73</v>
      </c>
      <c r="R7" s="9" t="s">
        <v>91</v>
      </c>
      <c r="S7" s="9" t="s">
        <v>91</v>
      </c>
      <c r="T7" s="9" t="s">
        <v>73</v>
      </c>
      <c r="U7" s="9" t="s">
        <v>70</v>
      </c>
      <c r="V7" s="9" t="s">
        <v>75</v>
      </c>
      <c r="W7" s="9" t="s">
        <v>74</v>
      </c>
      <c r="X7" s="9" t="s">
        <v>76</v>
      </c>
      <c r="Y7" s="9" t="s">
        <v>71</v>
      </c>
      <c r="Z7" s="9" t="s">
        <v>77</v>
      </c>
      <c r="AA7" s="9" t="s">
        <v>77</v>
      </c>
      <c r="AB7" s="9" t="s">
        <v>78</v>
      </c>
      <c r="AC7" s="9" t="s">
        <v>78</v>
      </c>
      <c r="AD7" s="9" t="s">
        <v>79</v>
      </c>
      <c r="AE7" s="9" t="s">
        <v>80</v>
      </c>
    </row>
    <row r="8" spans="1:31" x14ac:dyDescent="0.25">
      <c r="A8" s="10"/>
      <c r="B8" s="19"/>
      <c r="C8" s="18" t="s">
        <v>97</v>
      </c>
      <c r="D8" s="11" t="s">
        <v>81</v>
      </c>
      <c r="E8" s="11" t="s">
        <v>138</v>
      </c>
      <c r="F8" s="12">
        <v>1</v>
      </c>
      <c r="G8" s="22">
        <v>517142.78610676009</v>
      </c>
      <c r="H8" s="13">
        <v>0</v>
      </c>
      <c r="I8" s="13">
        <v>0</v>
      </c>
      <c r="J8" s="22">
        <v>5.0276250000000002E-5</v>
      </c>
      <c r="K8" s="14">
        <v>0</v>
      </c>
      <c r="L8" s="14">
        <v>5000</v>
      </c>
      <c r="M8" s="13"/>
      <c r="N8" s="13"/>
      <c r="O8" s="14">
        <v>0</v>
      </c>
      <c r="P8" s="14">
        <v>0.5</v>
      </c>
      <c r="Q8" s="12">
        <v>0</v>
      </c>
      <c r="R8" s="22">
        <v>4.4957730103030681E-3</v>
      </c>
      <c r="S8" s="24">
        <v>0</v>
      </c>
      <c r="T8" s="12">
        <v>0</v>
      </c>
      <c r="U8" s="12">
        <v>0</v>
      </c>
      <c r="V8" s="14">
        <v>99999999999</v>
      </c>
      <c r="W8" s="14">
        <v>99999999999</v>
      </c>
      <c r="X8" s="13">
        <f>L8/G8</f>
        <v>9.668509615384617E-3</v>
      </c>
      <c r="Y8" s="15"/>
      <c r="Z8" s="12">
        <v>1960</v>
      </c>
      <c r="AA8" s="12"/>
      <c r="AB8" s="16">
        <v>46.766666710000003</v>
      </c>
      <c r="AC8" s="16">
        <v>15.55000001</v>
      </c>
      <c r="AD8" s="17" t="s">
        <v>136</v>
      </c>
      <c r="AE8" s="17" t="s">
        <v>137</v>
      </c>
    </row>
    <row r="9" spans="1:31" x14ac:dyDescent="0.25">
      <c r="A9" s="10"/>
      <c r="B9" s="19"/>
      <c r="C9" s="18" t="s">
        <v>98</v>
      </c>
      <c r="D9" s="11" t="s">
        <v>81</v>
      </c>
      <c r="E9" s="11" t="s">
        <v>138</v>
      </c>
      <c r="F9" s="12">
        <v>1</v>
      </c>
      <c r="G9" s="22">
        <v>13455657.492354739</v>
      </c>
      <c r="H9" s="13">
        <v>0</v>
      </c>
      <c r="I9" s="13">
        <v>0</v>
      </c>
      <c r="J9" s="22">
        <v>2.4524999999999998E-6</v>
      </c>
      <c r="K9" s="14">
        <v>0</v>
      </c>
      <c r="L9" s="14">
        <v>5000</v>
      </c>
      <c r="M9" s="13"/>
      <c r="N9" s="13"/>
      <c r="O9" s="14">
        <v>0</v>
      </c>
      <c r="P9" s="14">
        <v>0.5</v>
      </c>
      <c r="Q9" s="12">
        <v>0</v>
      </c>
      <c r="R9" s="22">
        <v>6.4282864637126621E-4</v>
      </c>
      <c r="S9" s="24">
        <v>0</v>
      </c>
      <c r="T9" s="12">
        <v>0</v>
      </c>
      <c r="U9" s="12">
        <v>0</v>
      </c>
      <c r="V9" s="14">
        <v>99999999999</v>
      </c>
      <c r="W9" s="14">
        <v>99999999999</v>
      </c>
      <c r="X9" s="13">
        <f t="shared" ref="X9:X43" si="0">L9/G9</f>
        <v>3.7159090909090909E-4</v>
      </c>
      <c r="Y9" s="15"/>
      <c r="Z9" s="12"/>
      <c r="AA9" s="12"/>
      <c r="AB9" s="16">
        <v>47.049999010000001</v>
      </c>
      <c r="AC9" s="16">
        <v>15.19400001</v>
      </c>
      <c r="AD9" s="17" t="s">
        <v>136</v>
      </c>
      <c r="AE9" s="17" t="s">
        <v>137</v>
      </c>
    </row>
    <row r="10" spans="1:31" x14ac:dyDescent="0.25">
      <c r="A10" s="10"/>
      <c r="B10" s="19"/>
      <c r="C10" s="18" t="s">
        <v>99</v>
      </c>
      <c r="D10" s="11" t="s">
        <v>81</v>
      </c>
      <c r="E10" s="11" t="s">
        <v>138</v>
      </c>
      <c r="F10" s="12">
        <v>1</v>
      </c>
      <c r="G10" s="22">
        <v>23105674.481821269</v>
      </c>
      <c r="H10" s="13">
        <v>0</v>
      </c>
      <c r="I10" s="21">
        <v>123.1396524</v>
      </c>
      <c r="J10" s="22">
        <v>1.4715000000000002E-6</v>
      </c>
      <c r="K10" s="20">
        <v>1.6999999999999999E-3</v>
      </c>
      <c r="L10" s="14">
        <v>5000</v>
      </c>
      <c r="M10" s="13"/>
      <c r="N10" s="13"/>
      <c r="O10" s="14">
        <v>0</v>
      </c>
      <c r="P10" s="14">
        <v>0.5</v>
      </c>
      <c r="Q10" s="12">
        <v>0</v>
      </c>
      <c r="R10" s="22">
        <v>5.5961925227980276E-4</v>
      </c>
      <c r="S10" s="22">
        <v>1.1192385045596056E-2</v>
      </c>
      <c r="T10" s="12">
        <v>0</v>
      </c>
      <c r="U10" s="12">
        <v>0</v>
      </c>
      <c r="V10" s="14">
        <v>99999999999</v>
      </c>
      <c r="W10" s="14">
        <v>99999999999</v>
      </c>
      <c r="X10" s="13">
        <f t="shared" si="0"/>
        <v>2.1639705882352944E-4</v>
      </c>
      <c r="Y10" s="15"/>
      <c r="Z10" s="12">
        <v>1982</v>
      </c>
      <c r="AA10" s="12"/>
      <c r="AB10" s="16">
        <v>47.107686170000001</v>
      </c>
      <c r="AC10" s="16">
        <v>14.065534960000001</v>
      </c>
      <c r="AD10" s="17" t="s">
        <v>136</v>
      </c>
      <c r="AE10" s="17" t="s">
        <v>137</v>
      </c>
    </row>
    <row r="11" spans="1:31" x14ac:dyDescent="0.25">
      <c r="A11" s="10"/>
      <c r="B11" s="19"/>
      <c r="C11" s="18" t="s">
        <v>100</v>
      </c>
      <c r="D11" s="11" t="s">
        <v>81</v>
      </c>
      <c r="E11" s="11" t="s">
        <v>138</v>
      </c>
      <c r="F11" s="12">
        <v>1</v>
      </c>
      <c r="G11" s="22">
        <v>6523955.147808359</v>
      </c>
      <c r="H11" s="13">
        <v>0</v>
      </c>
      <c r="I11" s="13">
        <v>0</v>
      </c>
      <c r="J11" s="22">
        <v>2.4524999999999998E-6</v>
      </c>
      <c r="K11" s="14">
        <v>0</v>
      </c>
      <c r="L11" s="14">
        <v>5000</v>
      </c>
      <c r="M11" s="13"/>
      <c r="N11" s="13"/>
      <c r="O11" s="14">
        <v>0</v>
      </c>
      <c r="P11" s="14">
        <v>0.5</v>
      </c>
      <c r="Q11" s="12">
        <v>0</v>
      </c>
      <c r="R11" s="22">
        <v>4.432924794476158E-4</v>
      </c>
      <c r="S11" s="24">
        <v>0</v>
      </c>
      <c r="T11" s="12">
        <v>0</v>
      </c>
      <c r="U11" s="12">
        <v>0</v>
      </c>
      <c r="V11" s="14">
        <v>99999999999</v>
      </c>
      <c r="W11" s="14">
        <v>99999999999</v>
      </c>
      <c r="X11" s="13">
        <f t="shared" si="0"/>
        <v>7.6640624999999994E-4</v>
      </c>
      <c r="Y11" s="15"/>
      <c r="Z11" s="12">
        <v>1949</v>
      </c>
      <c r="AA11" s="12"/>
      <c r="AB11" s="16">
        <v>47.410000009999997</v>
      </c>
      <c r="AC11" s="16">
        <v>15.214</v>
      </c>
      <c r="AD11" s="17" t="s">
        <v>136</v>
      </c>
      <c r="AE11" s="17" t="s">
        <v>137</v>
      </c>
    </row>
    <row r="12" spans="1:31" x14ac:dyDescent="0.25">
      <c r="A12" s="10"/>
      <c r="B12" s="19"/>
      <c r="C12" s="18" t="s">
        <v>101</v>
      </c>
      <c r="D12" s="11" t="s">
        <v>81</v>
      </c>
      <c r="E12" s="11" t="s">
        <v>138</v>
      </c>
      <c r="F12" s="12">
        <v>1</v>
      </c>
      <c r="G12" s="22">
        <v>8154943.9347604485</v>
      </c>
      <c r="H12" s="13">
        <v>0</v>
      </c>
      <c r="I12" s="13">
        <v>0</v>
      </c>
      <c r="J12" s="22">
        <v>2.6977499999999997E-6</v>
      </c>
      <c r="K12" s="14">
        <v>0</v>
      </c>
      <c r="L12" s="14">
        <v>5000</v>
      </c>
      <c r="M12" s="13"/>
      <c r="N12" s="13"/>
      <c r="O12" s="14">
        <v>0</v>
      </c>
      <c r="P12" s="14">
        <v>0.5</v>
      </c>
      <c r="Q12" s="12">
        <v>0</v>
      </c>
      <c r="R12" s="22">
        <v>6.4282864637126621E-4</v>
      </c>
      <c r="S12" s="24">
        <v>0</v>
      </c>
      <c r="T12" s="12">
        <v>0</v>
      </c>
      <c r="U12" s="12">
        <v>0</v>
      </c>
      <c r="V12" s="14">
        <v>99999999999</v>
      </c>
      <c r="W12" s="14">
        <v>99999999999</v>
      </c>
      <c r="X12" s="13">
        <f t="shared" si="0"/>
        <v>6.1312499999999995E-4</v>
      </c>
      <c r="Y12" s="15"/>
      <c r="Z12" s="12">
        <v>1994</v>
      </c>
      <c r="AA12" s="12"/>
      <c r="AB12" s="16">
        <v>47.174263209999999</v>
      </c>
      <c r="AC12" s="16">
        <v>14.722779259999999</v>
      </c>
      <c r="AD12" s="17" t="s">
        <v>136</v>
      </c>
      <c r="AE12" s="17" t="s">
        <v>137</v>
      </c>
    </row>
    <row r="13" spans="1:31" x14ac:dyDescent="0.25">
      <c r="A13" s="10"/>
      <c r="B13" s="19"/>
      <c r="C13" s="18" t="s">
        <v>102</v>
      </c>
      <c r="D13" s="11" t="s">
        <v>81</v>
      </c>
      <c r="E13" s="11" t="s">
        <v>138</v>
      </c>
      <c r="F13" s="12">
        <v>1</v>
      </c>
      <c r="G13" s="22">
        <v>19571865.443425078</v>
      </c>
      <c r="H13" s="13">
        <v>0</v>
      </c>
      <c r="I13" s="13">
        <v>0</v>
      </c>
      <c r="J13" s="22">
        <v>6.1312499999999995E-7</v>
      </c>
      <c r="K13" s="14">
        <v>0</v>
      </c>
      <c r="L13" s="14">
        <v>5000</v>
      </c>
      <c r="M13" s="13"/>
      <c r="N13" s="13"/>
      <c r="O13" s="14">
        <v>0</v>
      </c>
      <c r="P13" s="14">
        <v>0.5</v>
      </c>
      <c r="Q13" s="12">
        <v>0</v>
      </c>
      <c r="R13" s="22">
        <v>3.0434114076049329E-4</v>
      </c>
      <c r="S13" s="24">
        <v>0</v>
      </c>
      <c r="T13" s="12">
        <v>0</v>
      </c>
      <c r="U13" s="12">
        <v>0</v>
      </c>
      <c r="V13" s="14">
        <v>99999999999</v>
      </c>
      <c r="W13" s="14">
        <v>99999999999</v>
      </c>
      <c r="X13" s="13">
        <f t="shared" si="0"/>
        <v>2.5546875E-4</v>
      </c>
      <c r="Y13" s="15"/>
      <c r="Z13" s="12">
        <v>1998</v>
      </c>
      <c r="AA13" s="12"/>
      <c r="AB13" s="16">
        <v>47.186513009999999</v>
      </c>
      <c r="AC13" s="16">
        <v>15.33601401</v>
      </c>
      <c r="AD13" s="17" t="s">
        <v>136</v>
      </c>
      <c r="AE13" s="17" t="s">
        <v>137</v>
      </c>
    </row>
    <row r="14" spans="1:31" x14ac:dyDescent="0.25">
      <c r="A14" s="10"/>
      <c r="B14" s="19"/>
      <c r="C14" s="18" t="s">
        <v>103</v>
      </c>
      <c r="D14" s="11" t="s">
        <v>81</v>
      </c>
      <c r="E14" s="11" t="s">
        <v>138</v>
      </c>
      <c r="F14" s="12">
        <v>1</v>
      </c>
      <c r="G14" s="22">
        <v>663774.50631771085</v>
      </c>
      <c r="H14" s="13">
        <v>0</v>
      </c>
      <c r="I14" s="13">
        <v>0</v>
      </c>
      <c r="J14" s="22">
        <v>2.1091500000000003E-5</v>
      </c>
      <c r="K14" s="14">
        <v>0</v>
      </c>
      <c r="L14" s="14">
        <v>5000</v>
      </c>
      <c r="M14" s="13"/>
      <c r="N14" s="13"/>
      <c r="O14" s="14">
        <v>0</v>
      </c>
      <c r="P14" s="14">
        <v>0.5</v>
      </c>
      <c r="Q14" s="12">
        <v>0</v>
      </c>
      <c r="R14" s="22">
        <v>2.3630245550970073E-4</v>
      </c>
      <c r="S14" s="24">
        <v>0</v>
      </c>
      <c r="T14" s="12">
        <v>0</v>
      </c>
      <c r="U14" s="12">
        <v>0</v>
      </c>
      <c r="V14" s="14">
        <v>99999999999</v>
      </c>
      <c r="W14" s="14">
        <v>99999999999</v>
      </c>
      <c r="X14" s="13">
        <f t="shared" si="0"/>
        <v>7.5326785714285721E-3</v>
      </c>
      <c r="Y14" s="15"/>
      <c r="Z14" s="12">
        <v>1974</v>
      </c>
      <c r="AA14" s="12"/>
      <c r="AB14" s="16">
        <v>46.785117999999997</v>
      </c>
      <c r="AC14" s="16">
        <v>15.58555701</v>
      </c>
      <c r="AD14" s="17" t="s">
        <v>136</v>
      </c>
      <c r="AE14" s="17" t="s">
        <v>137</v>
      </c>
    </row>
    <row r="15" spans="1:31" x14ac:dyDescent="0.25">
      <c r="A15" s="10"/>
      <c r="B15" s="19"/>
      <c r="C15" s="18" t="s">
        <v>104</v>
      </c>
      <c r="D15" s="11" t="s">
        <v>81</v>
      </c>
      <c r="E15" s="11" t="s">
        <v>138</v>
      </c>
      <c r="F15" s="12">
        <v>1</v>
      </c>
      <c r="G15" s="22">
        <v>691713.99446628802</v>
      </c>
      <c r="H15" s="13">
        <v>0</v>
      </c>
      <c r="I15" s="13">
        <v>0</v>
      </c>
      <c r="J15" s="22">
        <v>2.7468000000000002E-5</v>
      </c>
      <c r="K15" s="14">
        <v>0</v>
      </c>
      <c r="L15" s="14">
        <v>5000</v>
      </c>
      <c r="M15" s="13"/>
      <c r="N15" s="13"/>
      <c r="O15" s="14">
        <v>0</v>
      </c>
      <c r="P15" s="14">
        <v>0.5</v>
      </c>
      <c r="Q15" s="12">
        <v>0</v>
      </c>
      <c r="R15" s="22">
        <v>3.6691907844953398E-4</v>
      </c>
      <c r="S15" s="24">
        <v>0</v>
      </c>
      <c r="T15" s="12">
        <v>0</v>
      </c>
      <c r="U15" s="12">
        <v>0</v>
      </c>
      <c r="V15" s="14">
        <v>99999999999</v>
      </c>
      <c r="W15" s="14">
        <v>99999999999</v>
      </c>
      <c r="X15" s="13">
        <f t="shared" si="0"/>
        <v>7.2284210526315793E-3</v>
      </c>
      <c r="Y15" s="15"/>
      <c r="Z15" s="12">
        <v>2011</v>
      </c>
      <c r="AA15" s="12"/>
      <c r="AB15" s="16">
        <v>46.997841010000002</v>
      </c>
      <c r="AC15" s="16">
        <v>15.46751901</v>
      </c>
      <c r="AD15" s="17" t="s">
        <v>136</v>
      </c>
      <c r="AE15" s="17" t="s">
        <v>137</v>
      </c>
    </row>
    <row r="16" spans="1:31" x14ac:dyDescent="0.25">
      <c r="A16" s="10"/>
      <c r="B16" s="19"/>
      <c r="C16" s="18" t="s">
        <v>105</v>
      </c>
      <c r="D16" s="11" t="s">
        <v>81</v>
      </c>
      <c r="E16" s="11" t="s">
        <v>138</v>
      </c>
      <c r="F16" s="12">
        <v>1</v>
      </c>
      <c r="G16" s="22">
        <v>607283.05897152273</v>
      </c>
      <c r="H16" s="13">
        <v>0</v>
      </c>
      <c r="I16" s="13">
        <v>0</v>
      </c>
      <c r="J16" s="22">
        <v>2.3053500000000002E-5</v>
      </c>
      <c r="K16" s="14">
        <v>0</v>
      </c>
      <c r="L16" s="14">
        <v>5000</v>
      </c>
      <c r="M16" s="13"/>
      <c r="N16" s="13"/>
      <c r="O16" s="14">
        <v>0</v>
      </c>
      <c r="P16" s="14">
        <v>0.5</v>
      </c>
      <c r="Q16" s="12">
        <v>0</v>
      </c>
      <c r="R16" s="22">
        <v>6.1855642765774616E-5</v>
      </c>
      <c r="S16" s="24">
        <v>0</v>
      </c>
      <c r="T16" s="12">
        <v>0</v>
      </c>
      <c r="U16" s="12">
        <v>0</v>
      </c>
      <c r="V16" s="14">
        <v>99999999999</v>
      </c>
      <c r="W16" s="14">
        <v>99999999999</v>
      </c>
      <c r="X16" s="13">
        <f t="shared" si="0"/>
        <v>8.2333928571428575E-3</v>
      </c>
      <c r="Y16" s="15"/>
      <c r="Z16" s="12">
        <v>1964</v>
      </c>
      <c r="AA16" s="12"/>
      <c r="AB16" s="16">
        <v>46.828090680000003</v>
      </c>
      <c r="AC16" s="16">
        <v>15.566165529999999</v>
      </c>
      <c r="AD16" s="17" t="s">
        <v>136</v>
      </c>
      <c r="AE16" s="17" t="s">
        <v>137</v>
      </c>
    </row>
    <row r="17" spans="1:31" x14ac:dyDescent="0.25">
      <c r="A17" s="10"/>
      <c r="B17" s="19"/>
      <c r="C17" s="18" t="s">
        <v>106</v>
      </c>
      <c r="D17" s="11" t="s">
        <v>81</v>
      </c>
      <c r="E17" s="11" t="s">
        <v>138</v>
      </c>
      <c r="F17" s="12">
        <v>1</v>
      </c>
      <c r="G17" s="22">
        <v>690033.71755665331</v>
      </c>
      <c r="H17" s="13">
        <v>0</v>
      </c>
      <c r="I17" s="13">
        <v>0</v>
      </c>
      <c r="J17" s="22">
        <v>1.5941249999999999E-5</v>
      </c>
      <c r="K17" s="14">
        <v>0</v>
      </c>
      <c r="L17" s="14">
        <v>5000</v>
      </c>
      <c r="M17" s="13"/>
      <c r="N17" s="13"/>
      <c r="O17" s="14">
        <v>0</v>
      </c>
      <c r="P17" s="14">
        <v>0.5</v>
      </c>
      <c r="Q17" s="12">
        <v>0</v>
      </c>
      <c r="R17" s="22">
        <v>1.9336027393935048E-4</v>
      </c>
      <c r="S17" s="24">
        <v>0</v>
      </c>
      <c r="T17" s="12">
        <v>0</v>
      </c>
      <c r="U17" s="12">
        <v>0</v>
      </c>
      <c r="V17" s="14">
        <v>99999999999</v>
      </c>
      <c r="W17" s="14">
        <v>99999999999</v>
      </c>
      <c r="X17" s="13">
        <f t="shared" si="0"/>
        <v>7.2460227272727277E-3</v>
      </c>
      <c r="Y17" s="15"/>
      <c r="Z17" s="12">
        <v>2024</v>
      </c>
      <c r="AA17" s="12"/>
      <c r="AB17" s="16">
        <v>47.139091010000001</v>
      </c>
      <c r="AC17" s="16">
        <v>15.32804601</v>
      </c>
      <c r="AD17" s="17" t="s">
        <v>136</v>
      </c>
      <c r="AE17" s="17" t="s">
        <v>137</v>
      </c>
    </row>
    <row r="18" spans="1:31" x14ac:dyDescent="0.25">
      <c r="A18" s="10"/>
      <c r="B18" s="19"/>
      <c r="C18" s="18" t="s">
        <v>107</v>
      </c>
      <c r="D18" s="11" t="s">
        <v>81</v>
      </c>
      <c r="E18" s="11" t="s">
        <v>138</v>
      </c>
      <c r="F18" s="12">
        <v>1</v>
      </c>
      <c r="G18" s="22">
        <v>744033.54456319555</v>
      </c>
      <c r="H18" s="13">
        <v>0</v>
      </c>
      <c r="I18" s="13">
        <v>0</v>
      </c>
      <c r="J18" s="22">
        <v>2.3789249999999999E-5</v>
      </c>
      <c r="K18" s="14">
        <v>0</v>
      </c>
      <c r="L18" s="14">
        <v>5000</v>
      </c>
      <c r="M18" s="13"/>
      <c r="N18" s="13"/>
      <c r="O18" s="14">
        <v>0</v>
      </c>
      <c r="P18" s="14">
        <v>0.5</v>
      </c>
      <c r="Q18" s="12">
        <v>0</v>
      </c>
      <c r="R18" s="22">
        <v>3.3958650601424142E-4</v>
      </c>
      <c r="S18" s="24">
        <v>0</v>
      </c>
      <c r="T18" s="12">
        <v>0</v>
      </c>
      <c r="U18" s="12">
        <v>0</v>
      </c>
      <c r="V18" s="14">
        <v>99999999999</v>
      </c>
      <c r="W18" s="14">
        <v>99999999999</v>
      </c>
      <c r="X18" s="13">
        <f t="shared" si="0"/>
        <v>6.7201271186440679E-3</v>
      </c>
      <c r="Y18" s="15"/>
      <c r="Z18" s="12"/>
      <c r="AA18" s="12"/>
      <c r="AB18" s="16">
        <v>47.039863869999998</v>
      </c>
      <c r="AC18" s="16">
        <v>15.442751360000001</v>
      </c>
      <c r="AD18" s="17" t="s">
        <v>136</v>
      </c>
      <c r="AE18" s="17" t="s">
        <v>137</v>
      </c>
    </row>
    <row r="19" spans="1:31" x14ac:dyDescent="0.25">
      <c r="A19" s="10"/>
      <c r="B19" s="19"/>
      <c r="C19" s="18" t="s">
        <v>108</v>
      </c>
      <c r="D19" s="11" t="s">
        <v>81</v>
      </c>
      <c r="E19" s="11" t="s">
        <v>138</v>
      </c>
      <c r="F19" s="12">
        <v>1</v>
      </c>
      <c r="G19" s="22">
        <v>2446483.1804281347</v>
      </c>
      <c r="H19" s="13">
        <v>0</v>
      </c>
      <c r="I19" s="13">
        <v>0</v>
      </c>
      <c r="J19" s="22">
        <v>2.4524999999999998E-6</v>
      </c>
      <c r="K19" s="14">
        <v>0</v>
      </c>
      <c r="L19" s="14">
        <v>5000</v>
      </c>
      <c r="M19" s="13"/>
      <c r="N19" s="13"/>
      <c r="O19" s="14">
        <v>0</v>
      </c>
      <c r="P19" s="14">
        <v>0.5</v>
      </c>
      <c r="Q19" s="12">
        <v>0</v>
      </c>
      <c r="R19" s="22">
        <v>6.4282864637126621E-4</v>
      </c>
      <c r="S19" s="24">
        <v>0</v>
      </c>
      <c r="T19" s="12">
        <v>0</v>
      </c>
      <c r="U19" s="12">
        <v>0</v>
      </c>
      <c r="V19" s="14">
        <v>99999999999</v>
      </c>
      <c r="W19" s="14">
        <v>99999999999</v>
      </c>
      <c r="X19" s="13">
        <f t="shared" si="0"/>
        <v>2.04375E-3</v>
      </c>
      <c r="Y19" s="15"/>
      <c r="Z19" s="12"/>
      <c r="AA19" s="12"/>
      <c r="AB19" s="16">
        <v>46.994091240000003</v>
      </c>
      <c r="AC19" s="16">
        <v>15.085024949999999</v>
      </c>
      <c r="AD19" s="17" t="s">
        <v>136</v>
      </c>
      <c r="AE19" s="17" t="s">
        <v>137</v>
      </c>
    </row>
    <row r="20" spans="1:31" x14ac:dyDescent="0.25">
      <c r="A20" s="10"/>
      <c r="B20" s="19"/>
      <c r="C20" s="18" t="s">
        <v>109</v>
      </c>
      <c r="D20" s="11" t="s">
        <v>81</v>
      </c>
      <c r="E20" s="11" t="s">
        <v>138</v>
      </c>
      <c r="F20" s="12">
        <v>1</v>
      </c>
      <c r="G20" s="22">
        <v>848114.16921508661</v>
      </c>
      <c r="H20" s="13">
        <v>0</v>
      </c>
      <c r="I20" s="13">
        <v>0</v>
      </c>
      <c r="J20" s="22">
        <v>1.2262500000000001E-4</v>
      </c>
      <c r="K20" s="14">
        <v>0</v>
      </c>
      <c r="L20" s="14">
        <v>15000000</v>
      </c>
      <c r="M20" s="13"/>
      <c r="N20" s="13"/>
      <c r="O20" s="14">
        <v>0</v>
      </c>
      <c r="P20" s="14">
        <v>0.5</v>
      </c>
      <c r="Q20" s="12">
        <v>1</v>
      </c>
      <c r="R20" s="22">
        <v>1.6013449326548225E-2</v>
      </c>
      <c r="S20" s="24">
        <v>0</v>
      </c>
      <c r="T20" s="12">
        <v>0</v>
      </c>
      <c r="U20" s="12">
        <v>0</v>
      </c>
      <c r="V20" s="14">
        <v>99999999999</v>
      </c>
      <c r="W20" s="14">
        <v>99999999999</v>
      </c>
      <c r="X20" s="13">
        <f t="shared" si="0"/>
        <v>17.686298076923077</v>
      </c>
      <c r="Y20" s="15"/>
      <c r="Z20" s="12"/>
      <c r="AA20" s="12"/>
      <c r="AB20" s="16">
        <v>47.10370743</v>
      </c>
      <c r="AC20" s="16">
        <v>13.481122409999999</v>
      </c>
      <c r="AD20" s="17" t="s">
        <v>136</v>
      </c>
      <c r="AE20" s="17" t="s">
        <v>137</v>
      </c>
    </row>
    <row r="21" spans="1:31" x14ac:dyDescent="0.25">
      <c r="A21" s="10"/>
      <c r="B21" s="19"/>
      <c r="C21" s="18" t="s">
        <v>110</v>
      </c>
      <c r="D21" s="11" t="s">
        <v>81</v>
      </c>
      <c r="E21" s="11" t="s">
        <v>138</v>
      </c>
      <c r="F21" s="12">
        <v>1</v>
      </c>
      <c r="G21" s="22">
        <v>691713.99446628802</v>
      </c>
      <c r="H21" s="13">
        <v>0</v>
      </c>
      <c r="I21" s="13">
        <v>0</v>
      </c>
      <c r="J21" s="22">
        <v>2.7468000000000002E-5</v>
      </c>
      <c r="K21" s="14">
        <v>0</v>
      </c>
      <c r="L21" s="14">
        <v>5000</v>
      </c>
      <c r="M21" s="13"/>
      <c r="N21" s="13"/>
      <c r="O21" s="14">
        <v>0</v>
      </c>
      <c r="P21" s="14">
        <v>0.5</v>
      </c>
      <c r="Q21" s="12">
        <v>0</v>
      </c>
      <c r="R21" s="22">
        <v>3.3631487991971396E-4</v>
      </c>
      <c r="S21" s="24">
        <v>0</v>
      </c>
      <c r="T21" s="12">
        <v>0</v>
      </c>
      <c r="U21" s="12">
        <v>0</v>
      </c>
      <c r="V21" s="14">
        <v>99999999999</v>
      </c>
      <c r="W21" s="14">
        <v>99999999999</v>
      </c>
      <c r="X21" s="13">
        <f t="shared" si="0"/>
        <v>7.2284210526315793E-3</v>
      </c>
      <c r="Y21" s="15"/>
      <c r="Z21" s="12">
        <v>2013</v>
      </c>
      <c r="AA21" s="12"/>
      <c r="AB21" s="16">
        <v>46.943604610000001</v>
      </c>
      <c r="AC21" s="16">
        <v>15.5040946</v>
      </c>
      <c r="AD21" s="17" t="s">
        <v>136</v>
      </c>
      <c r="AE21" s="17" t="s">
        <v>137</v>
      </c>
    </row>
    <row r="22" spans="1:31" x14ac:dyDescent="0.25">
      <c r="A22" s="10"/>
      <c r="B22" s="19"/>
      <c r="C22" s="18" t="s">
        <v>111</v>
      </c>
      <c r="D22" s="11" t="s">
        <v>81</v>
      </c>
      <c r="E22" s="11" t="s">
        <v>138</v>
      </c>
      <c r="F22" s="12">
        <v>1</v>
      </c>
      <c r="G22" s="22">
        <v>853424.36526562821</v>
      </c>
      <c r="H22" s="13">
        <v>0</v>
      </c>
      <c r="I22" s="13">
        <v>0</v>
      </c>
      <c r="J22" s="22">
        <v>2.1091500000000003E-5</v>
      </c>
      <c r="K22" s="14">
        <v>0</v>
      </c>
      <c r="L22" s="14">
        <v>5000</v>
      </c>
      <c r="M22" s="13"/>
      <c r="N22" s="13"/>
      <c r="O22" s="14">
        <v>0</v>
      </c>
      <c r="P22" s="14">
        <v>0.5</v>
      </c>
      <c r="Q22" s="12">
        <v>0</v>
      </c>
      <c r="R22" s="22">
        <v>4.7665592024228302E-4</v>
      </c>
      <c r="S22" s="24">
        <v>0</v>
      </c>
      <c r="T22" s="12">
        <v>0</v>
      </c>
      <c r="U22" s="12">
        <v>0</v>
      </c>
      <c r="V22" s="14">
        <v>99999999999</v>
      </c>
      <c r="W22" s="14">
        <v>99999999999</v>
      </c>
      <c r="X22" s="13">
        <f t="shared" si="0"/>
        <v>5.8587500000000011E-3</v>
      </c>
      <c r="Y22" s="15"/>
      <c r="Z22" s="12">
        <v>2023</v>
      </c>
      <c r="AA22" s="12"/>
      <c r="AB22" s="16">
        <v>47.292000010000002</v>
      </c>
      <c r="AC22" s="16">
        <v>15.323</v>
      </c>
      <c r="AD22" s="17" t="s">
        <v>136</v>
      </c>
      <c r="AE22" s="17" t="s">
        <v>137</v>
      </c>
    </row>
    <row r="23" spans="1:31" x14ac:dyDescent="0.25">
      <c r="A23" s="10"/>
      <c r="B23" s="19"/>
      <c r="C23" s="18" t="s">
        <v>112</v>
      </c>
      <c r="D23" s="11" t="s">
        <v>81</v>
      </c>
      <c r="E23" s="11" t="s">
        <v>138</v>
      </c>
      <c r="F23" s="12">
        <v>1</v>
      </c>
      <c r="G23" s="22">
        <v>399752.15366472787</v>
      </c>
      <c r="H23" s="13">
        <v>0</v>
      </c>
      <c r="I23" s="13">
        <v>0</v>
      </c>
      <c r="J23" s="22">
        <v>2.5015500000000001E-5</v>
      </c>
      <c r="K23" s="14">
        <v>0</v>
      </c>
      <c r="L23" s="14">
        <v>5000</v>
      </c>
      <c r="M23" s="13"/>
      <c r="N23" s="13"/>
      <c r="O23" s="14">
        <v>0</v>
      </c>
      <c r="P23" s="14">
        <v>0.5</v>
      </c>
      <c r="Q23" s="12">
        <v>0</v>
      </c>
      <c r="R23" s="22">
        <v>2.9155552966564547E-4</v>
      </c>
      <c r="S23" s="24">
        <v>0</v>
      </c>
      <c r="T23" s="12">
        <v>0</v>
      </c>
      <c r="U23" s="12">
        <v>0</v>
      </c>
      <c r="V23" s="14">
        <v>99999999999</v>
      </c>
      <c r="W23" s="14">
        <v>99999999999</v>
      </c>
      <c r="X23" s="13">
        <f t="shared" si="0"/>
        <v>1.250775E-2</v>
      </c>
      <c r="Y23" s="15"/>
      <c r="Z23" s="12">
        <v>1988</v>
      </c>
      <c r="AA23" s="12"/>
      <c r="AB23" s="16">
        <v>46.857847</v>
      </c>
      <c r="AC23" s="16">
        <v>15.537300009999999</v>
      </c>
      <c r="AD23" s="17" t="s">
        <v>136</v>
      </c>
      <c r="AE23" s="17" t="s">
        <v>137</v>
      </c>
    </row>
    <row r="24" spans="1:31" x14ac:dyDescent="0.25">
      <c r="A24" s="10"/>
      <c r="B24" s="19"/>
      <c r="C24" s="18" t="s">
        <v>113</v>
      </c>
      <c r="D24" s="11" t="s">
        <v>81</v>
      </c>
      <c r="E24" s="11" t="s">
        <v>138</v>
      </c>
      <c r="F24" s="12">
        <v>1</v>
      </c>
      <c r="G24" s="22">
        <v>5096839.9592252802</v>
      </c>
      <c r="H24" s="13">
        <v>0</v>
      </c>
      <c r="I24" s="13">
        <v>0</v>
      </c>
      <c r="J24" s="22">
        <v>1.962E-6</v>
      </c>
      <c r="K24" s="14">
        <v>0</v>
      </c>
      <c r="L24" s="14">
        <v>5000</v>
      </c>
      <c r="M24" s="13"/>
      <c r="N24" s="13"/>
      <c r="O24" s="14">
        <v>0</v>
      </c>
      <c r="P24" s="14">
        <v>0.5</v>
      </c>
      <c r="Q24" s="12">
        <v>0</v>
      </c>
      <c r="R24" s="22">
        <v>2.2220358067584909E-4</v>
      </c>
      <c r="S24" s="24">
        <v>0</v>
      </c>
      <c r="T24" s="12">
        <v>0</v>
      </c>
      <c r="U24" s="12">
        <v>0</v>
      </c>
      <c r="V24" s="14">
        <v>99999999999</v>
      </c>
      <c r="W24" s="14">
        <v>99999999999</v>
      </c>
      <c r="X24" s="13">
        <f t="shared" si="0"/>
        <v>9.810000000000001E-4</v>
      </c>
      <c r="Y24" s="15"/>
      <c r="Z24" s="12"/>
      <c r="AA24" s="12"/>
      <c r="AB24" s="16">
        <v>47.388476009999998</v>
      </c>
      <c r="AC24" s="16">
        <v>15.095160999999999</v>
      </c>
      <c r="AD24" s="17" t="s">
        <v>136</v>
      </c>
      <c r="AE24" s="17" t="s">
        <v>137</v>
      </c>
    </row>
    <row r="25" spans="1:31" x14ac:dyDescent="0.25">
      <c r="A25" s="10"/>
      <c r="B25" s="19"/>
      <c r="C25" s="18" t="s">
        <v>114</v>
      </c>
      <c r="D25" s="11" t="s">
        <v>81</v>
      </c>
      <c r="E25" s="11" t="s">
        <v>138</v>
      </c>
      <c r="F25" s="12">
        <v>1</v>
      </c>
      <c r="G25" s="22">
        <v>6625891.9469928648</v>
      </c>
      <c r="H25" s="13">
        <v>0</v>
      </c>
      <c r="I25" s="13">
        <v>0</v>
      </c>
      <c r="J25" s="22">
        <v>1.962E-6</v>
      </c>
      <c r="K25" s="14">
        <v>0</v>
      </c>
      <c r="L25" s="14">
        <v>5000</v>
      </c>
      <c r="M25" s="13"/>
      <c r="N25" s="13"/>
      <c r="O25" s="14">
        <v>0</v>
      </c>
      <c r="P25" s="14">
        <v>0.5</v>
      </c>
      <c r="Q25" s="12">
        <v>0</v>
      </c>
      <c r="R25" s="22">
        <v>6.4282864637126621E-4</v>
      </c>
      <c r="S25" s="24">
        <v>0</v>
      </c>
      <c r="T25" s="12">
        <v>0</v>
      </c>
      <c r="U25" s="12">
        <v>0</v>
      </c>
      <c r="V25" s="14">
        <v>99999999999</v>
      </c>
      <c r="W25" s="14">
        <v>99999999999</v>
      </c>
      <c r="X25" s="13">
        <f t="shared" si="0"/>
        <v>7.5461538461538461E-4</v>
      </c>
      <c r="Y25" s="15"/>
      <c r="Z25" s="12"/>
      <c r="AA25" s="12"/>
      <c r="AB25" s="16">
        <v>46.745757689999998</v>
      </c>
      <c r="AC25" s="16">
        <v>15.57182718</v>
      </c>
      <c r="AD25" s="17" t="s">
        <v>136</v>
      </c>
      <c r="AE25" s="17" t="s">
        <v>137</v>
      </c>
    </row>
    <row r="26" spans="1:31" x14ac:dyDescent="0.25">
      <c r="A26" s="10"/>
      <c r="B26" s="19"/>
      <c r="C26" s="18" t="s">
        <v>115</v>
      </c>
      <c r="D26" s="11" t="s">
        <v>81</v>
      </c>
      <c r="E26" s="11" t="s">
        <v>138</v>
      </c>
      <c r="F26" s="12">
        <v>1</v>
      </c>
      <c r="G26" s="22">
        <v>6116207.9510703366</v>
      </c>
      <c r="H26" s="13">
        <v>0</v>
      </c>
      <c r="I26" s="13">
        <v>0</v>
      </c>
      <c r="J26" s="22">
        <v>2.4524999999999998E-6</v>
      </c>
      <c r="K26" s="14">
        <v>0</v>
      </c>
      <c r="L26" s="14">
        <v>5000000</v>
      </c>
      <c r="M26" s="13"/>
      <c r="N26" s="13"/>
      <c r="O26" s="14">
        <v>0</v>
      </c>
      <c r="P26" s="14">
        <v>0.5</v>
      </c>
      <c r="Q26" s="12">
        <v>1</v>
      </c>
      <c r="R26" s="22">
        <v>6.4282864637126621E-4</v>
      </c>
      <c r="S26" s="24">
        <v>0</v>
      </c>
      <c r="T26" s="12">
        <v>0</v>
      </c>
      <c r="U26" s="12">
        <v>0</v>
      </c>
      <c r="V26" s="14">
        <v>99999999999</v>
      </c>
      <c r="W26" s="14">
        <v>99999999999</v>
      </c>
      <c r="X26" s="13">
        <f t="shared" si="0"/>
        <v>0.8175</v>
      </c>
      <c r="Y26" s="15"/>
      <c r="Z26" s="12"/>
      <c r="AA26" s="12"/>
      <c r="AB26" s="16">
        <v>46.978785770000002</v>
      </c>
      <c r="AC26" s="16">
        <v>15.023196179999999</v>
      </c>
      <c r="AD26" s="17" t="s">
        <v>136</v>
      </c>
      <c r="AE26" s="17" t="s">
        <v>137</v>
      </c>
    </row>
    <row r="27" spans="1:31" x14ac:dyDescent="0.25">
      <c r="A27" s="10"/>
      <c r="B27" s="19"/>
      <c r="C27" s="18" t="s">
        <v>116</v>
      </c>
      <c r="D27" s="11" t="s">
        <v>81</v>
      </c>
      <c r="E27" s="11" t="s">
        <v>138</v>
      </c>
      <c r="F27" s="12">
        <v>1</v>
      </c>
      <c r="G27" s="22">
        <v>5889681.730660324</v>
      </c>
      <c r="H27" s="13">
        <v>0</v>
      </c>
      <c r="I27" s="13">
        <v>0</v>
      </c>
      <c r="J27" s="22">
        <v>2.2072499999999999E-6</v>
      </c>
      <c r="K27" s="14">
        <v>0</v>
      </c>
      <c r="L27" s="14">
        <v>5000</v>
      </c>
      <c r="M27" s="13"/>
      <c r="N27" s="13"/>
      <c r="O27" s="14">
        <v>0</v>
      </c>
      <c r="P27" s="14">
        <v>0.5</v>
      </c>
      <c r="Q27" s="12">
        <v>0</v>
      </c>
      <c r="R27" s="22">
        <v>3.2021035646953897E-4</v>
      </c>
      <c r="S27" s="24">
        <v>0</v>
      </c>
      <c r="T27" s="12">
        <v>0</v>
      </c>
      <c r="U27" s="12">
        <v>0</v>
      </c>
      <c r="V27" s="14">
        <v>99999999999</v>
      </c>
      <c r="W27" s="14">
        <v>99999999999</v>
      </c>
      <c r="X27" s="13">
        <f t="shared" si="0"/>
        <v>8.4894230769230771E-4</v>
      </c>
      <c r="Y27" s="15"/>
      <c r="Z27" s="12">
        <v>2009</v>
      </c>
      <c r="AA27" s="12"/>
      <c r="AB27" s="16">
        <v>47.209260010000001</v>
      </c>
      <c r="AC27" s="16">
        <v>15.335656</v>
      </c>
      <c r="AD27" s="17" t="s">
        <v>136</v>
      </c>
      <c r="AE27" s="17" t="s">
        <v>137</v>
      </c>
    </row>
    <row r="28" spans="1:31" x14ac:dyDescent="0.25">
      <c r="A28" s="10"/>
      <c r="B28" s="19"/>
      <c r="C28" s="18" t="s">
        <v>117</v>
      </c>
      <c r="D28" s="11" t="s">
        <v>81</v>
      </c>
      <c r="E28" s="11" t="s">
        <v>138</v>
      </c>
      <c r="F28" s="12">
        <v>1</v>
      </c>
      <c r="G28" s="22">
        <v>9637661.0138078034</v>
      </c>
      <c r="H28" s="13">
        <v>0</v>
      </c>
      <c r="I28" s="13">
        <v>0</v>
      </c>
      <c r="J28" s="22">
        <v>2.6977499999999997E-6</v>
      </c>
      <c r="K28" s="14">
        <v>0</v>
      </c>
      <c r="L28" s="14">
        <v>5000</v>
      </c>
      <c r="M28" s="13"/>
      <c r="N28" s="13"/>
      <c r="O28" s="14">
        <v>0</v>
      </c>
      <c r="P28" s="14">
        <v>0.5</v>
      </c>
      <c r="Q28" s="12">
        <v>0</v>
      </c>
      <c r="R28" s="22">
        <v>6.4282864637126621E-4</v>
      </c>
      <c r="S28" s="24">
        <v>0</v>
      </c>
      <c r="T28" s="12">
        <v>0</v>
      </c>
      <c r="U28" s="12">
        <v>0</v>
      </c>
      <c r="V28" s="14">
        <v>99999999999</v>
      </c>
      <c r="W28" s="14">
        <v>99999999999</v>
      </c>
      <c r="X28" s="13">
        <f t="shared" si="0"/>
        <v>5.1879807692307685E-4</v>
      </c>
      <c r="Y28" s="15"/>
      <c r="Z28" s="12">
        <v>2013</v>
      </c>
      <c r="AA28" s="12"/>
      <c r="AB28" s="16">
        <v>47.365200010000002</v>
      </c>
      <c r="AC28" s="16">
        <v>15.33440001</v>
      </c>
      <c r="AD28" s="17" t="s">
        <v>136</v>
      </c>
      <c r="AE28" s="17" t="s">
        <v>137</v>
      </c>
    </row>
    <row r="29" spans="1:31" x14ac:dyDescent="0.25">
      <c r="A29" s="10"/>
      <c r="B29" s="19"/>
      <c r="C29" s="18" t="s">
        <v>118</v>
      </c>
      <c r="D29" s="11" t="s">
        <v>81</v>
      </c>
      <c r="E29" s="11" t="s">
        <v>138</v>
      </c>
      <c r="F29" s="12">
        <v>1</v>
      </c>
      <c r="G29" s="22">
        <v>815494.39347604488</v>
      </c>
      <c r="H29" s="13">
        <v>0</v>
      </c>
      <c r="I29" s="13">
        <v>0</v>
      </c>
      <c r="J29" s="22">
        <v>2.4524999999999998E-6</v>
      </c>
      <c r="K29" s="14">
        <v>0</v>
      </c>
      <c r="L29" s="14">
        <v>5000</v>
      </c>
      <c r="M29" s="13"/>
      <c r="N29" s="13"/>
      <c r="O29" s="14">
        <v>0</v>
      </c>
      <c r="P29" s="14">
        <v>0.5</v>
      </c>
      <c r="Q29" s="12">
        <v>0</v>
      </c>
      <c r="R29" s="22">
        <v>6.4282864637126621E-4</v>
      </c>
      <c r="S29" s="24">
        <v>0</v>
      </c>
      <c r="T29" s="12">
        <v>0</v>
      </c>
      <c r="U29" s="12">
        <v>0</v>
      </c>
      <c r="V29" s="14">
        <v>99999999999</v>
      </c>
      <c r="W29" s="14">
        <v>99999999999</v>
      </c>
      <c r="X29" s="13">
        <f t="shared" si="0"/>
        <v>6.1312499999999995E-3</v>
      </c>
      <c r="Y29" s="15"/>
      <c r="Z29" s="12"/>
      <c r="AA29" s="12"/>
      <c r="AB29" s="16">
        <v>47.217744009999997</v>
      </c>
      <c r="AC29" s="16">
        <v>14.599074999999999</v>
      </c>
      <c r="AD29" s="17" t="s">
        <v>136</v>
      </c>
      <c r="AE29" s="17" t="s">
        <v>137</v>
      </c>
    </row>
    <row r="30" spans="1:31" x14ac:dyDescent="0.25">
      <c r="A30" s="10"/>
      <c r="B30" s="19"/>
      <c r="C30" s="18" t="s">
        <v>119</v>
      </c>
      <c r="D30" s="11" t="s">
        <v>81</v>
      </c>
      <c r="E30" s="11" t="s">
        <v>138</v>
      </c>
      <c r="F30" s="12">
        <v>1</v>
      </c>
      <c r="G30" s="22">
        <v>6342734.1714803493</v>
      </c>
      <c r="H30" s="13">
        <v>0</v>
      </c>
      <c r="I30" s="13">
        <v>0</v>
      </c>
      <c r="J30" s="22">
        <v>2.2072499999999999E-6</v>
      </c>
      <c r="K30" s="14">
        <v>0</v>
      </c>
      <c r="L30" s="14">
        <v>5000</v>
      </c>
      <c r="M30" s="13"/>
      <c r="N30" s="13"/>
      <c r="O30" s="14">
        <v>0</v>
      </c>
      <c r="P30" s="14">
        <v>0.5</v>
      </c>
      <c r="Q30" s="12">
        <v>0</v>
      </c>
      <c r="R30" s="22">
        <v>2.5408518062501861E-4</v>
      </c>
      <c r="S30" s="24">
        <v>0</v>
      </c>
      <c r="T30" s="12">
        <v>0</v>
      </c>
      <c r="U30" s="12">
        <v>0</v>
      </c>
      <c r="V30" s="14">
        <v>99999999999</v>
      </c>
      <c r="W30" s="14">
        <v>99999999999</v>
      </c>
      <c r="X30" s="13">
        <f t="shared" si="0"/>
        <v>7.8830357142857142E-4</v>
      </c>
      <c r="Y30" s="15"/>
      <c r="Z30" s="12"/>
      <c r="AA30" s="12"/>
      <c r="AB30" s="16">
        <v>47.250870140000004</v>
      </c>
      <c r="AC30" s="16">
        <v>15.310090219999999</v>
      </c>
      <c r="AD30" s="17" t="s">
        <v>136</v>
      </c>
      <c r="AE30" s="17" t="s">
        <v>137</v>
      </c>
    </row>
    <row r="31" spans="1:31" x14ac:dyDescent="0.25">
      <c r="A31" s="10"/>
      <c r="B31" s="19"/>
      <c r="C31" s="18" t="s">
        <v>120</v>
      </c>
      <c r="D31" s="11" t="s">
        <v>81</v>
      </c>
      <c r="E31" s="11" t="s">
        <v>138</v>
      </c>
      <c r="F31" s="12">
        <v>1</v>
      </c>
      <c r="G31" s="22">
        <v>407747.19673802244</v>
      </c>
      <c r="H31" s="13">
        <v>0</v>
      </c>
      <c r="I31" s="13">
        <v>0</v>
      </c>
      <c r="J31" s="22">
        <v>2.4524999999999998E-6</v>
      </c>
      <c r="K31" s="14">
        <v>0</v>
      </c>
      <c r="L31" s="14">
        <v>5000</v>
      </c>
      <c r="M31" s="13"/>
      <c r="N31" s="13"/>
      <c r="O31" s="14">
        <v>0</v>
      </c>
      <c r="P31" s="14">
        <v>0.5</v>
      </c>
      <c r="Q31" s="12">
        <v>0</v>
      </c>
      <c r="R31" s="22">
        <v>6.4282864637126621E-4</v>
      </c>
      <c r="S31" s="24">
        <v>0</v>
      </c>
      <c r="T31" s="12">
        <v>0</v>
      </c>
      <c r="U31" s="12">
        <v>0</v>
      </c>
      <c r="V31" s="14">
        <v>99999999999</v>
      </c>
      <c r="W31" s="14">
        <v>99999999999</v>
      </c>
      <c r="X31" s="13">
        <f t="shared" si="0"/>
        <v>1.2262499999999999E-2</v>
      </c>
      <c r="Y31" s="15"/>
      <c r="Z31" s="12"/>
      <c r="AA31" s="12"/>
      <c r="AB31" s="16">
        <v>46.74433801</v>
      </c>
      <c r="AC31" s="16">
        <v>15.57045501</v>
      </c>
      <c r="AD31" s="17" t="s">
        <v>136</v>
      </c>
      <c r="AE31" s="17" t="s">
        <v>137</v>
      </c>
    </row>
    <row r="32" spans="1:31" x14ac:dyDescent="0.25">
      <c r="A32" s="10"/>
      <c r="B32" s="19"/>
      <c r="C32" s="18" t="s">
        <v>121</v>
      </c>
      <c r="D32" s="11" t="s">
        <v>81</v>
      </c>
      <c r="E32" s="11" t="s">
        <v>138</v>
      </c>
      <c r="F32" s="12">
        <v>1</v>
      </c>
      <c r="G32" s="22">
        <v>768219.35617308575</v>
      </c>
      <c r="H32" s="13">
        <v>0</v>
      </c>
      <c r="I32" s="13">
        <v>0</v>
      </c>
      <c r="J32" s="22">
        <v>1.6922249999999999E-5</v>
      </c>
      <c r="K32" s="14">
        <v>0</v>
      </c>
      <c r="L32" s="14">
        <v>5000</v>
      </c>
      <c r="M32" s="13"/>
      <c r="N32" s="13"/>
      <c r="O32" s="14">
        <v>0</v>
      </c>
      <c r="P32" s="14">
        <v>0.5</v>
      </c>
      <c r="Q32" s="12">
        <v>0</v>
      </c>
      <c r="R32" s="22">
        <v>2.0636457735681617E-4</v>
      </c>
      <c r="S32" s="24">
        <v>0</v>
      </c>
      <c r="T32" s="12">
        <v>0</v>
      </c>
      <c r="U32" s="12">
        <v>0</v>
      </c>
      <c r="V32" s="14">
        <v>99999999999</v>
      </c>
      <c r="W32" s="14">
        <v>99999999999</v>
      </c>
      <c r="X32" s="13">
        <f t="shared" si="0"/>
        <v>6.508557692307692E-3</v>
      </c>
      <c r="Y32" s="15"/>
      <c r="Z32" s="12">
        <v>1982</v>
      </c>
      <c r="AA32" s="12"/>
      <c r="AB32" s="16">
        <v>46.716855860000003</v>
      </c>
      <c r="AC32" s="16">
        <v>15.621529779999999</v>
      </c>
      <c r="AD32" s="17" t="s">
        <v>136</v>
      </c>
      <c r="AE32" s="17" t="s">
        <v>137</v>
      </c>
    </row>
    <row r="33" spans="1:31" x14ac:dyDescent="0.25">
      <c r="A33" s="10"/>
      <c r="B33" s="19"/>
      <c r="C33" s="18" t="s">
        <v>122</v>
      </c>
      <c r="D33" s="11" t="s">
        <v>81</v>
      </c>
      <c r="E33" s="11" t="s">
        <v>138</v>
      </c>
      <c r="F33" s="12">
        <v>1</v>
      </c>
      <c r="G33" s="22">
        <v>287821.55063860409</v>
      </c>
      <c r="H33" s="13">
        <v>0</v>
      </c>
      <c r="I33" s="13">
        <v>0</v>
      </c>
      <c r="J33" s="22">
        <v>2.0846250000000001E-5</v>
      </c>
      <c r="K33" s="14">
        <v>0</v>
      </c>
      <c r="L33" s="14">
        <v>5000</v>
      </c>
      <c r="M33" s="13"/>
      <c r="N33" s="13"/>
      <c r="O33" s="14">
        <v>0</v>
      </c>
      <c r="P33" s="14">
        <v>0.5</v>
      </c>
      <c r="Q33" s="12">
        <v>0</v>
      </c>
      <c r="R33" s="22">
        <v>5.2670047273393192E-4</v>
      </c>
      <c r="S33" s="24">
        <v>0</v>
      </c>
      <c r="T33" s="12">
        <v>0</v>
      </c>
      <c r="U33" s="12">
        <v>0</v>
      </c>
      <c r="V33" s="14">
        <v>99999999999</v>
      </c>
      <c r="W33" s="14">
        <v>99999999999</v>
      </c>
      <c r="X33" s="13">
        <f t="shared" si="0"/>
        <v>1.7371874999999998E-2</v>
      </c>
      <c r="Y33" s="15"/>
      <c r="Z33" s="12">
        <v>1985</v>
      </c>
      <c r="AA33" s="12"/>
      <c r="AB33" s="16">
        <v>47.104410209999998</v>
      </c>
      <c r="AC33" s="16">
        <v>14.08673125</v>
      </c>
      <c r="AD33" s="17" t="s">
        <v>136</v>
      </c>
      <c r="AE33" s="17" t="s">
        <v>137</v>
      </c>
    </row>
    <row r="34" spans="1:31" x14ac:dyDescent="0.25">
      <c r="A34" s="10"/>
      <c r="B34" s="19"/>
      <c r="C34" s="18" t="s">
        <v>123</v>
      </c>
      <c r="D34" s="11" t="s">
        <v>81</v>
      </c>
      <c r="E34" s="11" t="s">
        <v>138</v>
      </c>
      <c r="F34" s="12">
        <v>1</v>
      </c>
      <c r="G34" s="22">
        <v>6523955.147808359</v>
      </c>
      <c r="H34" s="13">
        <v>0</v>
      </c>
      <c r="I34" s="13">
        <v>0</v>
      </c>
      <c r="J34" s="22">
        <v>2.4524999999999998E-6</v>
      </c>
      <c r="K34" s="14">
        <v>0</v>
      </c>
      <c r="L34" s="14">
        <v>5000</v>
      </c>
      <c r="M34" s="13"/>
      <c r="N34" s="13"/>
      <c r="O34" s="14">
        <v>0</v>
      </c>
      <c r="P34" s="14">
        <v>0.5</v>
      </c>
      <c r="Q34" s="12">
        <v>0</v>
      </c>
      <c r="R34" s="22">
        <v>6.4282864637126621E-4</v>
      </c>
      <c r="S34" s="24">
        <v>0</v>
      </c>
      <c r="T34" s="12">
        <v>0</v>
      </c>
      <c r="U34" s="12">
        <v>0</v>
      </c>
      <c r="V34" s="14">
        <v>99999999999</v>
      </c>
      <c r="W34" s="14">
        <v>99999999999</v>
      </c>
      <c r="X34" s="13">
        <f t="shared" si="0"/>
        <v>7.6640624999999994E-4</v>
      </c>
      <c r="Y34" s="15"/>
      <c r="Z34" s="12"/>
      <c r="AA34" s="12"/>
      <c r="AB34" s="16">
        <v>46.987347919999998</v>
      </c>
      <c r="AC34" s="16">
        <v>15.091276199999999</v>
      </c>
      <c r="AD34" s="17" t="s">
        <v>136</v>
      </c>
      <c r="AE34" s="17" t="s">
        <v>137</v>
      </c>
    </row>
    <row r="35" spans="1:31" x14ac:dyDescent="0.25">
      <c r="A35" s="10"/>
      <c r="B35" s="19"/>
      <c r="C35" s="18" t="s">
        <v>124</v>
      </c>
      <c r="D35" s="11" t="s">
        <v>81</v>
      </c>
      <c r="E35" s="11" t="s">
        <v>138</v>
      </c>
      <c r="F35" s="12">
        <v>1</v>
      </c>
      <c r="G35" s="22">
        <v>4892966.3608562695</v>
      </c>
      <c r="H35" s="13">
        <v>0</v>
      </c>
      <c r="I35" s="13">
        <v>0</v>
      </c>
      <c r="J35" s="22">
        <v>2.4524999999999998E-6</v>
      </c>
      <c r="K35" s="14">
        <v>0</v>
      </c>
      <c r="L35" s="14">
        <v>5000</v>
      </c>
      <c r="M35" s="13"/>
      <c r="N35" s="13"/>
      <c r="O35" s="14">
        <v>0</v>
      </c>
      <c r="P35" s="14">
        <v>0.5</v>
      </c>
      <c r="Q35" s="12">
        <v>0</v>
      </c>
      <c r="R35" s="22">
        <v>6.4282864637126621E-4</v>
      </c>
      <c r="S35" s="24">
        <v>0</v>
      </c>
      <c r="T35" s="12">
        <v>0</v>
      </c>
      <c r="U35" s="12">
        <v>0</v>
      </c>
      <c r="V35" s="14">
        <v>99999999999</v>
      </c>
      <c r="W35" s="14">
        <v>99999999999</v>
      </c>
      <c r="X35" s="13">
        <f t="shared" si="0"/>
        <v>1.021875E-3</v>
      </c>
      <c r="Y35" s="15"/>
      <c r="Z35" s="12"/>
      <c r="AA35" s="12"/>
      <c r="AB35" s="16">
        <v>47.175225009999998</v>
      </c>
      <c r="AC35" s="16">
        <v>15.320385010000001</v>
      </c>
      <c r="AD35" s="17" t="s">
        <v>136</v>
      </c>
      <c r="AE35" s="17" t="s">
        <v>137</v>
      </c>
    </row>
    <row r="36" spans="1:31" x14ac:dyDescent="0.25">
      <c r="A36" s="10"/>
      <c r="B36" s="19"/>
      <c r="C36" s="18" t="s">
        <v>125</v>
      </c>
      <c r="D36" s="11" t="s">
        <v>81</v>
      </c>
      <c r="E36" s="11" t="s">
        <v>138</v>
      </c>
      <c r="F36" s="12">
        <v>1</v>
      </c>
      <c r="G36" s="22">
        <v>407747.19673802244</v>
      </c>
      <c r="H36" s="13">
        <v>0</v>
      </c>
      <c r="I36" s="13">
        <v>0</v>
      </c>
      <c r="J36" s="22">
        <v>2.4524999999999998E-6</v>
      </c>
      <c r="K36" s="14">
        <v>0</v>
      </c>
      <c r="L36" s="14">
        <v>5000</v>
      </c>
      <c r="M36" s="13"/>
      <c r="N36" s="13"/>
      <c r="O36" s="14">
        <v>0</v>
      </c>
      <c r="P36" s="14">
        <v>0.5</v>
      </c>
      <c r="Q36" s="12">
        <v>0</v>
      </c>
      <c r="R36" s="22">
        <v>6.4282864637126621E-4</v>
      </c>
      <c r="S36" s="24">
        <v>0</v>
      </c>
      <c r="T36" s="12">
        <v>0</v>
      </c>
      <c r="U36" s="12">
        <v>0</v>
      </c>
      <c r="V36" s="14">
        <v>99999999999</v>
      </c>
      <c r="W36" s="14">
        <v>99999999999</v>
      </c>
      <c r="X36" s="13">
        <f t="shared" si="0"/>
        <v>1.2262499999999999E-2</v>
      </c>
      <c r="Y36" s="15"/>
      <c r="Z36" s="12"/>
      <c r="AA36" s="12"/>
      <c r="AB36" s="16">
        <v>47.02151301</v>
      </c>
      <c r="AC36" s="16">
        <v>15.166537010000001</v>
      </c>
      <c r="AD36" s="17" t="s">
        <v>136</v>
      </c>
      <c r="AE36" s="17" t="s">
        <v>137</v>
      </c>
    </row>
    <row r="37" spans="1:31" x14ac:dyDescent="0.25">
      <c r="A37" s="10"/>
      <c r="B37" s="19"/>
      <c r="C37" s="18" t="s">
        <v>126</v>
      </c>
      <c r="D37" s="11" t="s">
        <v>81</v>
      </c>
      <c r="E37" s="11" t="s">
        <v>138</v>
      </c>
      <c r="F37" s="12">
        <v>1</v>
      </c>
      <c r="G37" s="22">
        <v>407747.19673802244</v>
      </c>
      <c r="H37" s="13">
        <v>0</v>
      </c>
      <c r="I37" s="13">
        <v>0</v>
      </c>
      <c r="J37" s="22">
        <v>2.4524999999999998E-6</v>
      </c>
      <c r="K37" s="14">
        <v>0</v>
      </c>
      <c r="L37" s="14">
        <v>5000</v>
      </c>
      <c r="M37" s="13"/>
      <c r="N37" s="13"/>
      <c r="O37" s="14">
        <v>0</v>
      </c>
      <c r="P37" s="14">
        <v>0.5</v>
      </c>
      <c r="Q37" s="12">
        <v>0</v>
      </c>
      <c r="R37" s="22">
        <v>6.4282864637126621E-4</v>
      </c>
      <c r="S37" s="24">
        <v>0</v>
      </c>
      <c r="T37" s="12">
        <v>0</v>
      </c>
      <c r="U37" s="12">
        <v>0</v>
      </c>
      <c r="V37" s="14">
        <v>99999999999</v>
      </c>
      <c r="W37" s="14">
        <v>99999999999</v>
      </c>
      <c r="X37" s="13">
        <f t="shared" si="0"/>
        <v>1.2262499999999999E-2</v>
      </c>
      <c r="Y37" s="15"/>
      <c r="Z37" s="12"/>
      <c r="AA37" s="12"/>
      <c r="AB37" s="16">
        <v>47.495437010000003</v>
      </c>
      <c r="AC37" s="16">
        <v>14.99248</v>
      </c>
      <c r="AD37" s="17" t="s">
        <v>136</v>
      </c>
      <c r="AE37" s="17" t="s">
        <v>137</v>
      </c>
    </row>
    <row r="38" spans="1:31" x14ac:dyDescent="0.25">
      <c r="A38" s="10"/>
      <c r="B38" s="19"/>
      <c r="C38" s="18" t="s">
        <v>127</v>
      </c>
      <c r="D38" s="11" t="s">
        <v>81</v>
      </c>
      <c r="E38" s="11" t="s">
        <v>138</v>
      </c>
      <c r="F38" s="12">
        <v>1</v>
      </c>
      <c r="G38" s="22">
        <v>6301547.5859512556</v>
      </c>
      <c r="H38" s="13">
        <v>0</v>
      </c>
      <c r="I38" s="13">
        <v>0</v>
      </c>
      <c r="J38" s="22">
        <v>2.6977499999999997E-6</v>
      </c>
      <c r="K38" s="14">
        <v>0</v>
      </c>
      <c r="L38" s="14">
        <v>5000</v>
      </c>
      <c r="M38" s="13"/>
      <c r="N38" s="13"/>
      <c r="O38" s="14">
        <v>0</v>
      </c>
      <c r="P38" s="14">
        <v>0.5</v>
      </c>
      <c r="Q38" s="12">
        <v>0</v>
      </c>
      <c r="R38" s="22">
        <v>6.4282864637126621E-4</v>
      </c>
      <c r="S38" s="24">
        <v>0</v>
      </c>
      <c r="T38" s="12">
        <v>0</v>
      </c>
      <c r="U38" s="12">
        <v>0</v>
      </c>
      <c r="V38" s="14">
        <v>99999999999</v>
      </c>
      <c r="W38" s="14">
        <v>99999999999</v>
      </c>
      <c r="X38" s="13">
        <f t="shared" si="0"/>
        <v>7.9345588235294113E-4</v>
      </c>
      <c r="Y38" s="15"/>
      <c r="Z38" s="12">
        <v>1982</v>
      </c>
      <c r="AA38" s="12"/>
      <c r="AB38" s="16">
        <v>47.10900101</v>
      </c>
      <c r="AC38" s="16">
        <v>15.39200001</v>
      </c>
      <c r="AD38" s="17" t="s">
        <v>136</v>
      </c>
      <c r="AE38" s="17" t="s">
        <v>137</v>
      </c>
    </row>
    <row r="39" spans="1:31" x14ac:dyDescent="0.25">
      <c r="A39" s="10"/>
      <c r="B39" s="19"/>
      <c r="C39" s="18" t="s">
        <v>128</v>
      </c>
      <c r="D39" s="11" t="s">
        <v>81</v>
      </c>
      <c r="E39" s="11" t="s">
        <v>138</v>
      </c>
      <c r="F39" s="12">
        <v>1</v>
      </c>
      <c r="G39" s="22">
        <v>407747.19673802244</v>
      </c>
      <c r="H39" s="13">
        <v>0</v>
      </c>
      <c r="I39" s="13">
        <v>0</v>
      </c>
      <c r="J39" s="22">
        <v>2.4524999999999998E-6</v>
      </c>
      <c r="K39" s="14">
        <v>0</v>
      </c>
      <c r="L39" s="14">
        <v>5000</v>
      </c>
      <c r="M39" s="13"/>
      <c r="N39" s="13"/>
      <c r="O39" s="14">
        <v>0</v>
      </c>
      <c r="P39" s="14">
        <v>0.5</v>
      </c>
      <c r="Q39" s="12">
        <v>0</v>
      </c>
      <c r="R39" s="22">
        <v>6.4282864637126621E-4</v>
      </c>
      <c r="S39" s="24">
        <v>0</v>
      </c>
      <c r="T39" s="12">
        <v>0</v>
      </c>
      <c r="U39" s="12">
        <v>0</v>
      </c>
      <c r="V39" s="14">
        <v>99999999999</v>
      </c>
      <c r="W39" s="14">
        <v>99999999999</v>
      </c>
      <c r="X39" s="13">
        <f t="shared" si="0"/>
        <v>1.2262499999999999E-2</v>
      </c>
      <c r="Y39" s="15"/>
      <c r="Z39" s="12"/>
      <c r="AA39" s="12"/>
      <c r="AB39" s="16">
        <v>46.912548010000002</v>
      </c>
      <c r="AC39" s="16">
        <v>15.48666401</v>
      </c>
      <c r="AD39" s="17" t="s">
        <v>136</v>
      </c>
      <c r="AE39" s="17" t="s">
        <v>137</v>
      </c>
    </row>
    <row r="40" spans="1:31" x14ac:dyDescent="0.25">
      <c r="A40" s="10"/>
      <c r="B40" s="19"/>
      <c r="C40" s="18" t="s">
        <v>129</v>
      </c>
      <c r="D40" s="11" t="s">
        <v>81</v>
      </c>
      <c r="E40" s="11" t="s">
        <v>138</v>
      </c>
      <c r="F40" s="12">
        <v>1</v>
      </c>
      <c r="G40" s="22">
        <v>1997961.26401631</v>
      </c>
      <c r="H40" s="13">
        <v>0</v>
      </c>
      <c r="I40" s="13">
        <v>0</v>
      </c>
      <c r="J40" s="22">
        <v>2.4524999999999998E-6</v>
      </c>
      <c r="K40" s="14">
        <v>0</v>
      </c>
      <c r="L40" s="14">
        <v>5000</v>
      </c>
      <c r="M40" s="13"/>
      <c r="N40" s="13"/>
      <c r="O40" s="14">
        <v>0</v>
      </c>
      <c r="P40" s="14">
        <v>0.5</v>
      </c>
      <c r="Q40" s="12">
        <v>0</v>
      </c>
      <c r="R40" s="22">
        <v>6.4282864637126621E-4</v>
      </c>
      <c r="S40" s="24">
        <v>0</v>
      </c>
      <c r="T40" s="12">
        <v>0</v>
      </c>
      <c r="U40" s="12">
        <v>0</v>
      </c>
      <c r="V40" s="14">
        <v>99999999999</v>
      </c>
      <c r="W40" s="14">
        <v>99999999999</v>
      </c>
      <c r="X40" s="13">
        <f t="shared" si="0"/>
        <v>2.502551020408163E-3</v>
      </c>
      <c r="Y40" s="15"/>
      <c r="Z40" s="12">
        <v>1988</v>
      </c>
      <c r="AA40" s="12"/>
      <c r="AB40" s="16">
        <v>47.20008473</v>
      </c>
      <c r="AC40" s="16">
        <v>14.442535319999999</v>
      </c>
      <c r="AD40" s="17" t="s">
        <v>136</v>
      </c>
      <c r="AE40" s="17" t="s">
        <v>137</v>
      </c>
    </row>
    <row r="41" spans="1:31" x14ac:dyDescent="0.25">
      <c r="A41" s="10"/>
      <c r="B41" s="19"/>
      <c r="C41" s="18" t="s">
        <v>130</v>
      </c>
      <c r="D41" s="11" t="s">
        <v>81</v>
      </c>
      <c r="E41" s="11" t="s">
        <v>138</v>
      </c>
      <c r="F41" s="12">
        <v>1</v>
      </c>
      <c r="G41" s="22">
        <v>16059.361825050113</v>
      </c>
      <c r="H41" s="13">
        <v>0</v>
      </c>
      <c r="I41" s="13">
        <v>0</v>
      </c>
      <c r="J41" s="22">
        <v>6.2268974999999999E-4</v>
      </c>
      <c r="K41" s="14">
        <v>0</v>
      </c>
      <c r="L41" s="14">
        <v>5000</v>
      </c>
      <c r="M41" s="13"/>
      <c r="N41" s="13"/>
      <c r="O41" s="14">
        <v>0</v>
      </c>
      <c r="P41" s="14">
        <v>0.5</v>
      </c>
      <c r="Q41" s="12">
        <v>0</v>
      </c>
      <c r="R41" s="22">
        <v>3.2834578383807655E-3</v>
      </c>
      <c r="S41" s="24">
        <v>0</v>
      </c>
      <c r="T41" s="12">
        <v>0</v>
      </c>
      <c r="U41" s="12">
        <v>0</v>
      </c>
      <c r="V41" s="14">
        <v>99999999999</v>
      </c>
      <c r="W41" s="14">
        <v>99999999999</v>
      </c>
      <c r="X41" s="13">
        <f t="shared" si="0"/>
        <v>0.31134487500000002</v>
      </c>
      <c r="Y41" s="15"/>
      <c r="Z41" s="12">
        <v>1984</v>
      </c>
      <c r="AA41" s="12"/>
      <c r="AB41" s="16">
        <v>47.164754000000002</v>
      </c>
      <c r="AC41" s="16">
        <v>13.47057096</v>
      </c>
      <c r="AD41" s="17" t="s">
        <v>136</v>
      </c>
      <c r="AE41" s="17" t="s">
        <v>137</v>
      </c>
    </row>
    <row r="42" spans="1:31" x14ac:dyDescent="0.25">
      <c r="A42" s="10"/>
      <c r="B42" s="19"/>
      <c r="C42" s="18" t="s">
        <v>131</v>
      </c>
      <c r="D42" s="11" t="s">
        <v>81</v>
      </c>
      <c r="E42" s="11" t="s">
        <v>138</v>
      </c>
      <c r="F42" s="12">
        <v>1</v>
      </c>
      <c r="G42" s="22">
        <v>49826.54135291517</v>
      </c>
      <c r="H42" s="13">
        <v>0</v>
      </c>
      <c r="I42" s="13">
        <v>0</v>
      </c>
      <c r="J42" s="22">
        <v>6.0208875000000001E-4</v>
      </c>
      <c r="K42" s="14">
        <v>0</v>
      </c>
      <c r="L42" s="14">
        <v>5000</v>
      </c>
      <c r="M42" s="13"/>
      <c r="N42" s="13"/>
      <c r="O42" s="14">
        <v>0</v>
      </c>
      <c r="P42" s="14">
        <v>0.5</v>
      </c>
      <c r="Q42" s="12">
        <v>0</v>
      </c>
      <c r="R42" s="22">
        <v>2.7434728307385649E-4</v>
      </c>
      <c r="S42" s="24">
        <v>0</v>
      </c>
      <c r="T42" s="12">
        <v>0</v>
      </c>
      <c r="U42" s="12">
        <v>0</v>
      </c>
      <c r="V42" s="14">
        <v>99999999999</v>
      </c>
      <c r="W42" s="14">
        <v>99999999999</v>
      </c>
      <c r="X42" s="13">
        <f t="shared" si="0"/>
        <v>0.10034812499999998</v>
      </c>
      <c r="Y42" s="15"/>
      <c r="Z42" s="12">
        <v>1925</v>
      </c>
      <c r="AA42" s="12"/>
      <c r="AB42" s="16">
        <v>47.018382189999997</v>
      </c>
      <c r="AC42" s="16">
        <v>15.15986506</v>
      </c>
      <c r="AD42" s="17" t="s">
        <v>136</v>
      </c>
      <c r="AE42" s="17" t="s">
        <v>137</v>
      </c>
    </row>
    <row r="43" spans="1:31" x14ac:dyDescent="0.25">
      <c r="A43" s="10"/>
      <c r="B43" s="19"/>
      <c r="C43" s="18" t="s">
        <v>132</v>
      </c>
      <c r="D43" s="11" t="s">
        <v>81</v>
      </c>
      <c r="E43" s="11" t="s">
        <v>138</v>
      </c>
      <c r="F43" s="12">
        <v>1</v>
      </c>
      <c r="G43" s="22">
        <v>949548.26637621643</v>
      </c>
      <c r="H43" s="13">
        <v>0</v>
      </c>
      <c r="I43" s="13">
        <v>0</v>
      </c>
      <c r="J43" s="22">
        <v>1.7903250000000002E-5</v>
      </c>
      <c r="K43" s="14">
        <v>0</v>
      </c>
      <c r="L43" s="14">
        <v>5000</v>
      </c>
      <c r="M43" s="13"/>
      <c r="N43" s="13"/>
      <c r="O43" s="14">
        <v>0</v>
      </c>
      <c r="P43" s="14">
        <v>0.5</v>
      </c>
      <c r="Q43" s="12">
        <v>0</v>
      </c>
      <c r="R43" s="22">
        <v>3.0645611518358368E-4</v>
      </c>
      <c r="S43" s="24">
        <v>0</v>
      </c>
      <c r="T43" s="12">
        <v>0</v>
      </c>
      <c r="U43" s="12">
        <v>0</v>
      </c>
      <c r="V43" s="14">
        <v>99999999999</v>
      </c>
      <c r="W43" s="14">
        <v>99999999999</v>
      </c>
      <c r="X43" s="13">
        <f t="shared" si="0"/>
        <v>5.2656617647058833E-3</v>
      </c>
      <c r="Y43" s="15"/>
      <c r="Z43" s="12">
        <v>1985</v>
      </c>
      <c r="AA43" s="12"/>
      <c r="AB43" s="16">
        <v>46.910999009999998</v>
      </c>
      <c r="AC43" s="16">
        <v>15.48600001</v>
      </c>
      <c r="AD43" s="17" t="s">
        <v>136</v>
      </c>
      <c r="AE43" s="17" t="s">
        <v>137</v>
      </c>
    </row>
  </sheetData>
  <phoneticPr fontId="6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Scenario_2016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Auer</cp:lastModifiedBy>
  <dcterms:created xsi:type="dcterms:W3CDTF">2025-10-30T14:59:47Z</dcterms:created>
  <dcterms:modified xsi:type="dcterms:W3CDTF">2026-02-02T16:27:24Z</dcterms:modified>
</cp:coreProperties>
</file>