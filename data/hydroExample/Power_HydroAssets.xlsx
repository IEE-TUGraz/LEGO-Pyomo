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FelixAuer\Git\LEGO-Pyomo2\data\hydroExample\"/>
    </mc:Choice>
  </mc:AlternateContent>
  <xr:revisionPtr revIDLastSave="0" documentId="13_ncr:1_{741FC6AC-CBFF-46C4-90E9-8E50BB9CADD5}" xr6:coauthVersionLast="47" xr6:coauthVersionMax="47" xr10:uidLastSave="{00000000-0000-0000-0000-000000000000}"/>
  <bookViews>
    <workbookView xWindow="34230" yWindow="-21705" windowWidth="38640" windowHeight="21120" xr2:uid="{00000000-000D-0000-FFFF-FFFF00000000}"/>
  </bookViews>
  <sheets>
    <sheet name="Scenario_201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1" l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If a line has a value in this column, it is not read in (i.e., does not exist).</t>
        </r>
      </text>
    </comment>
    <comment ref="B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Readable name</t>
        </r>
      </text>
    </comment>
    <comment ref="B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Value specifier in database</t>
        </r>
      </text>
    </comment>
    <comment ref="B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Description</t>
        </r>
      </text>
    </comment>
    <comment ref="B6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Details on database behavior</t>
        </r>
      </text>
    </comment>
    <comment ref="B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Unit or valid values</t>
        </r>
      </text>
    </comment>
  </commentList>
</comments>
</file>

<file path=xl/sharedStrings.xml><?xml version="1.0" encoding="utf-8"?>
<sst xmlns="http://schemas.openxmlformats.org/spreadsheetml/2006/main" count="257" uniqueCount="136">
  <si>
    <t>Format:</t>
  </si>
  <si>
    <t>Excl.</t>
  </si>
  <si>
    <t>Database ID</t>
  </si>
  <si>
    <t>Generator</t>
  </si>
  <si>
    <t>Technology</t>
  </si>
  <si>
    <t>Node</t>
  </si>
  <si>
    <t>ExisUnits</t>
  </si>
  <si>
    <t>Qmax</t>
  </si>
  <si>
    <t>Qmin</t>
  </si>
  <si>
    <t>MinReserve</t>
  </si>
  <si>
    <t>Initial Reserve</t>
  </si>
  <si>
    <t>IsLDES</t>
  </si>
  <si>
    <t>EnableInvest</t>
  </si>
  <si>
    <t>MaxInvest</t>
  </si>
  <si>
    <t>InvestCostPerMW</t>
  </si>
  <si>
    <t>InvestCostPerMWh</t>
  </si>
  <si>
    <t>Energy to Power Ratio</t>
  </si>
  <si>
    <t>FirmCapCoef</t>
  </si>
  <si>
    <t>Commission Year</t>
  </si>
  <si>
    <t>Decommission Year</t>
  </si>
  <si>
    <t>Latitude</t>
  </si>
  <si>
    <t>Longitude</t>
  </si>
  <si>
    <t>Data Package</t>
  </si>
  <si>
    <t>Data Source</t>
  </si>
  <si>
    <t>excl</t>
  </si>
  <si>
    <t>id</t>
  </si>
  <si>
    <t>g</t>
  </si>
  <si>
    <t>tec</t>
  </si>
  <si>
    <t>i</t>
  </si>
  <si>
    <t>IniReserve</t>
  </si>
  <si>
    <t>Ene2PowRatio</t>
  </si>
  <si>
    <t>YearCom</t>
  </si>
  <si>
    <t>YearDecom</t>
  </si>
  <si>
    <t>lat</t>
  </si>
  <si>
    <t>lon</t>
  </si>
  <si>
    <t>dataPackage</t>
  </si>
  <si>
    <t>dataSource</t>
  </si>
  <si>
    <t>ID within database</t>
  </si>
  <si>
    <t>Generator/Unit name</t>
  </si>
  <si>
    <t>Corresponding technology</t>
  </si>
  <si>
    <t>Name of node</t>
  </si>
  <si>
    <t>Number of existing units</t>
  </si>
  <si>
    <t>Efficiency of discharging the storage unit</t>
  </si>
  <si>
    <t>Efficiency of charging the storage unit</t>
  </si>
  <si>
    <t>Maximum reactive power output of the unit</t>
  </si>
  <si>
    <t>Minimum reactive power output of the unit</t>
  </si>
  <si>
    <t>Minimum reserve of the storage unit</t>
  </si>
  <si>
    <t>Initial reserve of the storage unit</t>
  </si>
  <si>
    <t>Whether the storage unit is a long-duration energy storage (1) or not (0)</t>
  </si>
  <si>
    <t>Operation and maintenance cost of the unit</t>
  </si>
  <si>
    <t>Whether the model can invest in the unit (1) or not (0)</t>
  </si>
  <si>
    <t>Maximum number of units that can be invested in</t>
  </si>
  <si>
    <t>Annualized investment cost per MW of MaxProd</t>
  </si>
  <si>
    <t>Annualized investment cost per MWh of storage capacity</t>
  </si>
  <si>
    <t>Energy to power ratio of the storage unit</t>
  </si>
  <si>
    <t>Firm capacity coefficient of the unit</t>
  </si>
  <si>
    <t>Year where it is commissioned (1.1.xxxx)</t>
  </si>
  <si>
    <t>Year where it is decommissioned (31.12.xxxx)</t>
  </si>
  <si>
    <t>Which package this belongs to</t>
  </si>
  <si>
    <t>Where the data for the entry comes from</t>
  </si>
  <si>
    <t>Filled automatically by database</t>
  </si>
  <si>
    <t>-</t>
  </si>
  <si>
    <t>Scenario-dependent</t>
  </si>
  <si>
    <t>[db-key]</t>
  </si>
  <si>
    <t>[g]</t>
  </si>
  <si>
    <t>[tec]</t>
  </si>
  <si>
    <t>[i]</t>
  </si>
  <si>
    <t>[0-N]</t>
  </si>
  <si>
    <t>[%, 0-1]</t>
  </si>
  <si>
    <t>[MVAr]</t>
  </si>
  <si>
    <t>[0, 1]</t>
  </si>
  <si>
    <t>[€/MWh]</t>
  </si>
  <si>
    <t>[€/MW]</t>
  </si>
  <si>
    <t>[h]</t>
  </si>
  <si>
    <t>[Year]</t>
  </si>
  <si>
    <t>[°]</t>
  </si>
  <si>
    <t>[dataPackage]</t>
  </si>
  <si>
    <t>[dataSource]</t>
  </si>
  <si>
    <t>Hydro</t>
  </si>
  <si>
    <t>Power Factor Turbine</t>
  </si>
  <si>
    <t>PowerFactorTurbine</t>
  </si>
  <si>
    <t>Power Factor Pump</t>
  </si>
  <si>
    <t>PowerFactorPump</t>
  </si>
  <si>
    <t>Maximum Pumping</t>
  </si>
  <si>
    <t>v0.0.1</t>
  </si>
  <si>
    <t>OMVarCostTurbine</t>
  </si>
  <si>
    <t>OMVarCostPump</t>
  </si>
  <si>
    <t>Node_1</t>
  </si>
  <si>
    <t>Node_2</t>
  </si>
  <si>
    <t>[m^3]</t>
  </si>
  <si>
    <t>[€/m^3]</t>
  </si>
  <si>
    <t>[MWh/m^3]</t>
  </si>
  <si>
    <t>Storage Capacity</t>
  </si>
  <si>
    <t>StorageCapacity</t>
  </si>
  <si>
    <t>Capacity of the water storage of the unit</t>
  </si>
  <si>
    <t>Power - Hydro Assets</t>
  </si>
  <si>
    <t>4 Altenmarkt</t>
  </si>
  <si>
    <t>10 Arnstein-KW</t>
  </si>
  <si>
    <t>26 Bodendorf paal</t>
  </si>
  <si>
    <t>37 Dionysen-KW</t>
  </si>
  <si>
    <t>53 Fisching-KW</t>
  </si>
  <si>
    <t>59 Friesach -PP</t>
  </si>
  <si>
    <t>63 Gabersdorf-PP</t>
  </si>
  <si>
    <t>79 Gössendorf</t>
  </si>
  <si>
    <t>81 Gralla-KW</t>
  </si>
  <si>
    <t>82 Gratkorn</t>
  </si>
  <si>
    <t>83 Graz puntigam</t>
  </si>
  <si>
    <t>99 Hierzman-Speicher</t>
  </si>
  <si>
    <t>100 Hintermuhr</t>
  </si>
  <si>
    <t>109 Kalsdorf</t>
  </si>
  <si>
    <t>161 Laufnitzdorf-KW</t>
  </si>
  <si>
    <t>166 Lebring-KW</t>
  </si>
  <si>
    <t>170 Leoben-KW</t>
  </si>
  <si>
    <t>210 Obervogau</t>
  </si>
  <si>
    <t>216 Pack</t>
  </si>
  <si>
    <t>225 Peggau-KW</t>
  </si>
  <si>
    <t>228 Pernegg-KW</t>
  </si>
  <si>
    <t>230 Pöls</t>
  </si>
  <si>
    <t>233 Rabenstein-KW</t>
  </si>
  <si>
    <t>244 Retznei</t>
  </si>
  <si>
    <t>342 Spielfeld-KW</t>
  </si>
  <si>
    <t>344 St. Georgen</t>
  </si>
  <si>
    <t>346 St, Martin-KW</t>
  </si>
  <si>
    <t>376 Stübing</t>
  </si>
  <si>
    <t>386 Teigitschmühle</t>
  </si>
  <si>
    <t>414 Vordernberg</t>
  </si>
  <si>
    <t>433 Weinzoedl-KW</t>
  </si>
  <si>
    <t>435 Weissenegg</t>
  </si>
  <si>
    <t>714 Unzmarkt Kraftwerk</t>
  </si>
  <si>
    <t>734 Zederhaus</t>
  </si>
  <si>
    <t>743 Arnstein</t>
  </si>
  <si>
    <t>190 Mellach und Kuehlwasserturbine-KW</t>
  </si>
  <si>
    <t>MaxProdWater</t>
  </si>
  <si>
    <t>Maximum water intake of the unit</t>
  </si>
  <si>
    <t>Maximum water consumption of the unit</t>
  </si>
  <si>
    <t>MaxPumpWater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</si>
</sst>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_-* #,##0.000000_-;\-* #,##0.000000_-;_-* &quot;-&quot;??_-;_-@_-"/>
    <numFmt numFmtId="168" formatCode="0.00000"/>
    <numFmt numFmtId="169" formatCode="0.0000000000"/>
  </numFmts>
  <fonts count="13" x14ac:knownFonts="1">
    <font>
      <sz val="11"/>
      <color theme="1"/>
      <name val="Calibri"/>
      <family val="2"/>
      <scheme val="minor"/>
    </font>
    <font>
      <b/>
      <sz val="11"/>
      <name val="Aptos"/>
    </font>
    <font>
      <i/>
      <sz val="11"/>
      <name val="Aptos"/>
    </font>
    <font>
      <sz val="11"/>
      <color rgb="FF0000FF"/>
      <name val="Aptos"/>
    </font>
    <font>
      <b/>
      <sz val="18"/>
      <color rgb="FFFFFFFF"/>
      <name val="Aptos"/>
    </font>
    <font>
      <sz val="11"/>
      <name val="Aptos"/>
    </font>
    <font>
      <sz val="8"/>
      <name val="Calibri"/>
      <family val="2"/>
      <scheme val="minor"/>
    </font>
    <font>
      <sz val="11"/>
      <name val="Aptos"/>
      <family val="2"/>
    </font>
    <font>
      <sz val="11"/>
      <color theme="1"/>
      <name val="Aptos"/>
      <family val="2"/>
    </font>
    <font>
      <sz val="11"/>
      <color theme="1"/>
      <name val="Calibri"/>
      <family val="2"/>
      <scheme val="minor"/>
    </font>
    <font>
      <sz val="11"/>
      <color rgb="FF0000FF"/>
      <name val="Aptos"/>
      <family val="2"/>
    </font>
    <font>
      <b/>
      <sz val="11"/>
      <name val="Aptos"/>
      <family val="2"/>
    </font>
    <font>
      <i/>
      <sz val="11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DAEEF3"/>
        <bgColor rgb="FFDAEEF3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B8CCE4"/>
        <bgColor rgb="FFB8CCE4"/>
      </patternFill>
    </fill>
    <fill>
      <patternFill patternType="solid">
        <fgColor rgb="FFCCFFCC"/>
        <bgColor rgb="FFCC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B8CCE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30">
    <xf numFmtId="0" fontId="0" fillId="0" borderId="0" xfId="0"/>
    <xf numFmtId="0" fontId="0" fillId="2" borderId="0" xfId="0" applyFill="1"/>
    <xf numFmtId="0" fontId="4" fillId="2" borderId="0" xfId="0" applyFont="1" applyFill="1"/>
    <xf numFmtId="0" fontId="2" fillId="0" borderId="0" xfId="0" applyFont="1" applyAlignment="1">
      <alignment horizontal="right" vertical="center"/>
    </xf>
    <xf numFmtId="0" fontId="2" fillId="0" borderId="0" xfId="0" applyFont="1"/>
    <xf numFmtId="0" fontId="1" fillId="3" borderId="0" xfId="0" applyFont="1" applyFill="1"/>
    <xf numFmtId="0" fontId="1" fillId="4" borderId="0" xfId="0" applyFont="1" applyFill="1"/>
    <xf numFmtId="0" fontId="2" fillId="5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3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indent="1"/>
    </xf>
    <xf numFmtId="0" fontId="5" fillId="7" borderId="0" xfId="0" applyFont="1" applyFill="1" applyAlignment="1">
      <alignment indent="1"/>
    </xf>
    <xf numFmtId="1" fontId="5" fillId="6" borderId="0" xfId="0" applyNumberFormat="1" applyFont="1" applyFill="1" applyAlignment="1">
      <alignment horizontal="right" vertical="center"/>
    </xf>
    <xf numFmtId="164" fontId="5" fillId="6" borderId="0" xfId="0" applyNumberFormat="1" applyFont="1" applyFill="1" applyAlignment="1">
      <alignment horizontal="right" vertical="center"/>
    </xf>
    <xf numFmtId="2" fontId="5" fillId="6" borderId="0" xfId="0" applyNumberFormat="1" applyFont="1" applyFill="1" applyAlignment="1">
      <alignment horizontal="right" vertical="center"/>
    </xf>
    <xf numFmtId="165" fontId="5" fillId="6" borderId="0" xfId="0" applyNumberFormat="1" applyFont="1" applyFill="1" applyAlignment="1">
      <alignment horizontal="right" vertical="center"/>
    </xf>
    <xf numFmtId="166" fontId="5" fillId="7" borderId="0" xfId="0" applyNumberFormat="1" applyFont="1" applyFill="1" applyAlignment="1">
      <alignment horizontal="right" vertical="center"/>
    </xf>
    <xf numFmtId="0" fontId="5" fillId="6" borderId="0" xfId="0" applyFont="1" applyFill="1" applyAlignment="1">
      <alignment indent="1"/>
    </xf>
    <xf numFmtId="0" fontId="7" fillId="7" borderId="0" xfId="0" applyFont="1" applyFill="1" applyAlignment="1">
      <alignment indent="1"/>
    </xf>
    <xf numFmtId="0" fontId="8" fillId="0" borderId="0" xfId="0" applyFont="1"/>
    <xf numFmtId="0" fontId="7" fillId="5" borderId="0" xfId="0" applyFont="1" applyFill="1" applyAlignment="1">
      <alignment indent="1"/>
    </xf>
    <xf numFmtId="167" fontId="5" fillId="6" borderId="0" xfId="1" applyNumberFormat="1" applyFont="1" applyFill="1" applyAlignment="1">
      <alignment horizontal="right" vertical="center"/>
    </xf>
    <xf numFmtId="166" fontId="5" fillId="6" borderId="0" xfId="0" applyNumberFormat="1" applyFont="1" applyFill="1" applyAlignment="1">
      <alignment horizontal="right" vertical="center"/>
    </xf>
    <xf numFmtId="168" fontId="5" fillId="6" borderId="0" xfId="0" applyNumberFormat="1" applyFont="1" applyFill="1" applyAlignment="1">
      <alignment horizontal="right" vertical="center"/>
    </xf>
    <xf numFmtId="169" fontId="5" fillId="6" borderId="0" xfId="0" applyNumberFormat="1" applyFont="1" applyFill="1" applyAlignment="1">
      <alignment horizontal="right" vertical="center"/>
    </xf>
    <xf numFmtId="0" fontId="0" fillId="8" borderId="0" xfId="0" applyFill="1"/>
    <xf numFmtId="0" fontId="10" fillId="5" borderId="0" xfId="0" applyFont="1" applyFill="1" applyAlignment="1">
      <alignment horizontal="center" vertical="center"/>
    </xf>
    <xf numFmtId="2" fontId="5" fillId="9" borderId="0" xfId="0" applyNumberFormat="1" applyFont="1" applyFill="1" applyAlignment="1">
      <alignment horizontal="right" vertical="center"/>
    </xf>
    <xf numFmtId="0" fontId="11" fillId="4" borderId="0" xfId="0" applyFont="1" applyFill="1"/>
    <xf numFmtId="0" fontId="12" fillId="5" borderId="0" xfId="0" applyFont="1" applyFill="1" applyAlignment="1">
      <alignment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080"/>
  </sheetPr>
  <dimension ref="A1:AD43"/>
  <sheetViews>
    <sheetView showGridLines="0" tabSelected="1" zoomScaleNormal="10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5.5703125" customWidth="1"/>
    <col min="2" max="2" width="19.7109375" customWidth="1"/>
    <col min="3" max="3" width="29.85546875" customWidth="1"/>
    <col min="4" max="8" width="15.7109375" customWidth="1"/>
    <col min="9" max="11" width="21.7109375" customWidth="1"/>
    <col min="12" max="15" width="15.7109375" customWidth="1"/>
    <col min="16" max="16" width="20.7109375" customWidth="1"/>
    <col min="17" max="17" width="20.42578125" customWidth="1"/>
    <col min="18" max="18" width="20.5703125" customWidth="1"/>
    <col min="19" max="20" width="15.7109375" customWidth="1"/>
    <col min="21" max="22" width="20.7109375" customWidth="1"/>
    <col min="23" max="23" width="22.7109375" customWidth="1"/>
    <col min="24" max="24" width="15.7109375" customWidth="1"/>
    <col min="25" max="26" width="20.140625" customWidth="1"/>
    <col min="27" max="27" width="20.42578125" customWidth="1"/>
    <col min="28" max="28" width="19.42578125" customWidth="1"/>
    <col min="29" max="30" width="24.5703125" customWidth="1"/>
  </cols>
  <sheetData>
    <row r="1" spans="1:30" ht="24" customHeight="1" x14ac:dyDescent="0.4">
      <c r="A1" s="1"/>
      <c r="B1" s="2" t="s">
        <v>95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x14ac:dyDescent="0.25">
      <c r="B2" s="3" t="s">
        <v>0</v>
      </c>
      <c r="C2" s="4" t="s">
        <v>84</v>
      </c>
    </row>
    <row r="3" spans="1:30" x14ac:dyDescent="0.25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132</v>
      </c>
      <c r="H3" s="5" t="s">
        <v>83</v>
      </c>
      <c r="I3" s="5" t="s">
        <v>79</v>
      </c>
      <c r="J3" s="5" t="s">
        <v>81</v>
      </c>
      <c r="K3" s="5" t="s">
        <v>92</v>
      </c>
      <c r="L3" s="5" t="s">
        <v>7</v>
      </c>
      <c r="M3" s="5" t="s">
        <v>8</v>
      </c>
      <c r="N3" s="5" t="s">
        <v>9</v>
      </c>
      <c r="O3" s="5" t="s">
        <v>10</v>
      </c>
      <c r="P3" s="5" t="s">
        <v>11</v>
      </c>
      <c r="Q3" s="5" t="s">
        <v>85</v>
      </c>
      <c r="R3" s="5" t="s">
        <v>86</v>
      </c>
      <c r="S3" s="5" t="s">
        <v>12</v>
      </c>
      <c r="T3" s="5" t="s">
        <v>13</v>
      </c>
      <c r="U3" s="5" t="s">
        <v>14</v>
      </c>
      <c r="V3" s="5" t="s">
        <v>15</v>
      </c>
      <c r="W3" s="5" t="s">
        <v>16</v>
      </c>
      <c r="X3" s="5" t="s">
        <v>17</v>
      </c>
      <c r="Y3" s="5" t="s">
        <v>18</v>
      </c>
      <c r="Z3" s="5" t="s">
        <v>19</v>
      </c>
      <c r="AA3" s="5" t="s">
        <v>20</v>
      </c>
      <c r="AB3" s="5" t="s">
        <v>21</v>
      </c>
      <c r="AC3" s="5" t="s">
        <v>22</v>
      </c>
      <c r="AD3" s="5" t="s">
        <v>23</v>
      </c>
    </row>
    <row r="4" spans="1:30" x14ac:dyDescent="0.25">
      <c r="A4" s="6" t="s">
        <v>24</v>
      </c>
      <c r="B4" s="6" t="s">
        <v>25</v>
      </c>
      <c r="C4" s="6" t="s">
        <v>26</v>
      </c>
      <c r="D4" s="6" t="s">
        <v>27</v>
      </c>
      <c r="E4" s="6" t="s">
        <v>28</v>
      </c>
      <c r="F4" s="6" t="s">
        <v>6</v>
      </c>
      <c r="G4" s="28" t="s">
        <v>132</v>
      </c>
      <c r="H4" s="28" t="s">
        <v>135</v>
      </c>
      <c r="I4" s="6" t="s">
        <v>80</v>
      </c>
      <c r="J4" s="6" t="s">
        <v>82</v>
      </c>
      <c r="K4" s="6" t="s">
        <v>93</v>
      </c>
      <c r="L4" s="6" t="s">
        <v>7</v>
      </c>
      <c r="M4" s="6" t="s">
        <v>8</v>
      </c>
      <c r="N4" s="6" t="s">
        <v>9</v>
      </c>
      <c r="O4" s="6" t="s">
        <v>29</v>
      </c>
      <c r="P4" s="6" t="s">
        <v>11</v>
      </c>
      <c r="Q4" s="6" t="s">
        <v>85</v>
      </c>
      <c r="R4" s="6" t="s">
        <v>86</v>
      </c>
      <c r="S4" s="6" t="s">
        <v>12</v>
      </c>
      <c r="T4" s="6" t="s">
        <v>13</v>
      </c>
      <c r="U4" s="6" t="s">
        <v>14</v>
      </c>
      <c r="V4" s="6" t="s">
        <v>15</v>
      </c>
      <c r="W4" s="6" t="s">
        <v>30</v>
      </c>
      <c r="X4" s="6" t="s">
        <v>17</v>
      </c>
      <c r="Y4" s="6" t="s">
        <v>31</v>
      </c>
      <c r="Z4" s="6" t="s">
        <v>32</v>
      </c>
      <c r="AA4" s="6" t="s">
        <v>33</v>
      </c>
      <c r="AB4" s="6" t="s">
        <v>34</v>
      </c>
      <c r="AC4" s="6" t="s">
        <v>35</v>
      </c>
      <c r="AD4" s="6" t="s">
        <v>36</v>
      </c>
    </row>
    <row r="5" spans="1:30" ht="60" customHeight="1" x14ac:dyDescent="0.25">
      <c r="A5" s="7"/>
      <c r="B5" s="7" t="s">
        <v>37</v>
      </c>
      <c r="C5" s="7" t="s">
        <v>38</v>
      </c>
      <c r="D5" s="7" t="s">
        <v>39</v>
      </c>
      <c r="E5" s="7" t="s">
        <v>40</v>
      </c>
      <c r="F5" s="7" t="s">
        <v>41</v>
      </c>
      <c r="G5" s="29" t="s">
        <v>133</v>
      </c>
      <c r="H5" s="29" t="s">
        <v>134</v>
      </c>
      <c r="I5" s="7" t="s">
        <v>42</v>
      </c>
      <c r="J5" s="7" t="s">
        <v>43</v>
      </c>
      <c r="K5" s="7" t="s">
        <v>94</v>
      </c>
      <c r="L5" s="7" t="s">
        <v>44</v>
      </c>
      <c r="M5" s="7" t="s">
        <v>45</v>
      </c>
      <c r="N5" s="7" t="s">
        <v>46</v>
      </c>
      <c r="O5" s="7" t="s">
        <v>47</v>
      </c>
      <c r="P5" s="7" t="s">
        <v>48</v>
      </c>
      <c r="Q5" s="7" t="s">
        <v>49</v>
      </c>
      <c r="R5" s="7" t="s">
        <v>49</v>
      </c>
      <c r="S5" s="7" t="s">
        <v>50</v>
      </c>
      <c r="T5" s="7" t="s">
        <v>51</v>
      </c>
      <c r="U5" s="7" t="s">
        <v>52</v>
      </c>
      <c r="V5" s="7" t="s">
        <v>53</v>
      </c>
      <c r="W5" s="7" t="s">
        <v>54</v>
      </c>
      <c r="X5" s="7" t="s">
        <v>55</v>
      </c>
      <c r="Y5" s="7" t="s">
        <v>56</v>
      </c>
      <c r="Z5" s="7" t="s">
        <v>57</v>
      </c>
      <c r="AA5" s="7" t="s">
        <v>20</v>
      </c>
      <c r="AB5" s="7" t="s">
        <v>21</v>
      </c>
      <c r="AC5" s="7" t="s">
        <v>58</v>
      </c>
      <c r="AD5" s="7" t="s">
        <v>59</v>
      </c>
    </row>
    <row r="6" spans="1:30" ht="30" customHeight="1" x14ac:dyDescent="0.25">
      <c r="A6" s="8"/>
      <c r="B6" s="8" t="s">
        <v>60</v>
      </c>
      <c r="C6" s="8" t="s">
        <v>61</v>
      </c>
      <c r="D6" s="8" t="s">
        <v>61</v>
      </c>
      <c r="E6" s="8" t="s">
        <v>61</v>
      </c>
      <c r="F6" s="8" t="s">
        <v>62</v>
      </c>
      <c r="G6" s="8" t="s">
        <v>62</v>
      </c>
      <c r="H6" s="8" t="s">
        <v>62</v>
      </c>
      <c r="I6" s="8" t="s">
        <v>62</v>
      </c>
      <c r="J6" s="8" t="s">
        <v>62</v>
      </c>
      <c r="K6" s="8"/>
      <c r="L6" s="8" t="s">
        <v>62</v>
      </c>
      <c r="M6" s="8" t="s">
        <v>62</v>
      </c>
      <c r="N6" s="8" t="s">
        <v>62</v>
      </c>
      <c r="O6" s="8" t="s">
        <v>62</v>
      </c>
      <c r="P6" s="8" t="s">
        <v>62</v>
      </c>
      <c r="Q6" s="8" t="s">
        <v>62</v>
      </c>
      <c r="R6" s="8" t="s">
        <v>62</v>
      </c>
      <c r="S6" s="8" t="s">
        <v>62</v>
      </c>
      <c r="T6" s="8" t="s">
        <v>62</v>
      </c>
      <c r="U6" s="8" t="s">
        <v>62</v>
      </c>
      <c r="V6" s="8" t="s">
        <v>62</v>
      </c>
      <c r="W6" s="8" t="s">
        <v>62</v>
      </c>
      <c r="X6" s="8" t="s">
        <v>62</v>
      </c>
      <c r="Y6" s="8" t="s">
        <v>62</v>
      </c>
      <c r="Z6" s="8" t="s">
        <v>62</v>
      </c>
      <c r="AA6" s="8" t="s">
        <v>61</v>
      </c>
      <c r="AB6" s="8" t="s">
        <v>61</v>
      </c>
      <c r="AC6" s="8" t="s">
        <v>62</v>
      </c>
      <c r="AD6" s="8" t="s">
        <v>62</v>
      </c>
    </row>
    <row r="7" spans="1:30" x14ac:dyDescent="0.25">
      <c r="A7" s="9"/>
      <c r="B7" s="9" t="s">
        <v>63</v>
      </c>
      <c r="C7" s="9" t="s">
        <v>64</v>
      </c>
      <c r="D7" s="9" t="s">
        <v>65</v>
      </c>
      <c r="E7" s="9" t="s">
        <v>66</v>
      </c>
      <c r="F7" s="9" t="s">
        <v>67</v>
      </c>
      <c r="G7" s="9" t="s">
        <v>89</v>
      </c>
      <c r="H7" s="9" t="s">
        <v>89</v>
      </c>
      <c r="I7" s="9" t="s">
        <v>91</v>
      </c>
      <c r="J7" s="9" t="s">
        <v>91</v>
      </c>
      <c r="K7" s="26" t="s">
        <v>89</v>
      </c>
      <c r="L7" s="9" t="s">
        <v>69</v>
      </c>
      <c r="M7" s="9" t="s">
        <v>69</v>
      </c>
      <c r="N7" s="9" t="s">
        <v>68</v>
      </c>
      <c r="O7" s="9" t="s">
        <v>68</v>
      </c>
      <c r="P7" s="9" t="s">
        <v>70</v>
      </c>
      <c r="Q7" s="9" t="s">
        <v>90</v>
      </c>
      <c r="R7" s="9" t="s">
        <v>90</v>
      </c>
      <c r="S7" s="9" t="s">
        <v>70</v>
      </c>
      <c r="T7" s="9" t="s">
        <v>67</v>
      </c>
      <c r="U7" s="9" t="s">
        <v>72</v>
      </c>
      <c r="V7" s="9" t="s">
        <v>71</v>
      </c>
      <c r="W7" s="9" t="s">
        <v>73</v>
      </c>
      <c r="X7" s="9" t="s">
        <v>68</v>
      </c>
      <c r="Y7" s="9" t="s">
        <v>74</v>
      </c>
      <c r="Z7" s="9" t="s">
        <v>74</v>
      </c>
      <c r="AA7" s="9" t="s">
        <v>75</v>
      </c>
      <c r="AB7" s="9" t="s">
        <v>75</v>
      </c>
      <c r="AC7" s="9" t="s">
        <v>76</v>
      </c>
      <c r="AD7" s="9" t="s">
        <v>77</v>
      </c>
    </row>
    <row r="8" spans="1:30" x14ac:dyDescent="0.25">
      <c r="A8" s="10"/>
      <c r="B8" s="20"/>
      <c r="C8" s="18" t="s">
        <v>96</v>
      </c>
      <c r="D8" s="11" t="s">
        <v>78</v>
      </c>
      <c r="E8" s="11" t="s">
        <v>87</v>
      </c>
      <c r="F8" s="12">
        <v>1</v>
      </c>
      <c r="G8" s="21">
        <v>511.17575395937445</v>
      </c>
      <c r="H8" s="13">
        <v>0</v>
      </c>
      <c r="I8" s="24">
        <v>1.3833147724009441E-3</v>
      </c>
      <c r="J8" s="14">
        <v>0</v>
      </c>
      <c r="K8" s="14">
        <v>5000</v>
      </c>
      <c r="L8" s="13"/>
      <c r="M8" s="13"/>
      <c r="N8" s="14">
        <v>0</v>
      </c>
      <c r="O8" s="14">
        <v>0.5</v>
      </c>
      <c r="P8" s="12">
        <v>0</v>
      </c>
      <c r="Q8" s="14">
        <v>8.9915460206061365E-2</v>
      </c>
      <c r="R8" s="14">
        <v>0</v>
      </c>
      <c r="S8" s="12">
        <v>0</v>
      </c>
      <c r="T8" s="12">
        <v>0</v>
      </c>
      <c r="U8" s="14">
        <v>99999999999</v>
      </c>
      <c r="V8" s="14">
        <v>99999999999</v>
      </c>
      <c r="W8" s="13">
        <f t="shared" ref="W8:W43" si="0">K8/G8</f>
        <v>9.7813715953307394</v>
      </c>
      <c r="X8" s="15"/>
      <c r="Y8" s="12">
        <v>1960</v>
      </c>
      <c r="Z8" s="12"/>
      <c r="AA8" s="16">
        <v>4676666671</v>
      </c>
      <c r="AB8" s="16">
        <v>1555000001</v>
      </c>
      <c r="AC8" s="17"/>
      <c r="AD8" s="17"/>
    </row>
    <row r="9" spans="1:30" x14ac:dyDescent="0.25">
      <c r="B9" s="20"/>
      <c r="C9" s="19" t="s">
        <v>97</v>
      </c>
      <c r="D9" s="11" t="s">
        <v>78</v>
      </c>
      <c r="E9" s="11" t="s">
        <v>87</v>
      </c>
      <c r="F9" s="12">
        <v>1</v>
      </c>
      <c r="G9" s="25">
        <v>1345.565749235474</v>
      </c>
      <c r="H9" s="13">
        <v>0</v>
      </c>
      <c r="I9" s="25">
        <v>2.5224658889183604E-4</v>
      </c>
      <c r="J9" s="14">
        <v>0</v>
      </c>
      <c r="K9" s="14">
        <v>5000</v>
      </c>
      <c r="N9" s="14">
        <v>0</v>
      </c>
      <c r="O9" s="14">
        <v>0.5</v>
      </c>
      <c r="P9" s="12">
        <v>0</v>
      </c>
      <c r="Q9" s="25">
        <v>1.2856572927425324E-2</v>
      </c>
      <c r="R9" s="27">
        <v>0</v>
      </c>
      <c r="S9" s="12">
        <v>0</v>
      </c>
      <c r="T9" s="12">
        <v>0</v>
      </c>
      <c r="U9" s="14">
        <v>99999999999</v>
      </c>
      <c r="V9" s="14">
        <v>99999999999</v>
      </c>
      <c r="W9" s="13">
        <f t="shared" si="0"/>
        <v>3.7159090909090908</v>
      </c>
      <c r="Y9">
        <v>0</v>
      </c>
      <c r="AA9">
        <v>4704999901</v>
      </c>
      <c r="AB9">
        <v>1519400001</v>
      </c>
    </row>
    <row r="10" spans="1:30" x14ac:dyDescent="0.25">
      <c r="B10" s="20"/>
      <c r="C10" s="19" t="s">
        <v>98</v>
      </c>
      <c r="D10" s="11" t="s">
        <v>78</v>
      </c>
      <c r="E10" s="11" t="s">
        <v>87</v>
      </c>
      <c r="F10" s="12">
        <v>1</v>
      </c>
      <c r="G10" s="25">
        <v>2310.567448182127</v>
      </c>
      <c r="H10" s="13">
        <v>0</v>
      </c>
      <c r="I10" s="25">
        <v>1.7219053916301622E-4</v>
      </c>
      <c r="J10" s="14">
        <v>0</v>
      </c>
      <c r="K10" s="14">
        <v>5000</v>
      </c>
      <c r="N10" s="14">
        <v>0</v>
      </c>
      <c r="O10" s="14">
        <v>0.5</v>
      </c>
      <c r="P10" s="12">
        <v>0</v>
      </c>
      <c r="Q10" s="25">
        <v>1.1192385045596056E-2</v>
      </c>
      <c r="R10" s="25">
        <v>0.32026898653096453</v>
      </c>
      <c r="S10" s="12">
        <v>0</v>
      </c>
      <c r="T10" s="12">
        <v>0</v>
      </c>
      <c r="U10" s="14">
        <v>99999999999</v>
      </c>
      <c r="V10" s="14">
        <v>99999999999</v>
      </c>
      <c r="W10" s="13">
        <f t="shared" si="0"/>
        <v>2.1639705882352942</v>
      </c>
      <c r="Y10">
        <v>1982</v>
      </c>
      <c r="AA10">
        <v>4710768617</v>
      </c>
      <c r="AB10">
        <v>1406553496</v>
      </c>
    </row>
    <row r="11" spans="1:30" x14ac:dyDescent="0.25">
      <c r="B11" s="20"/>
      <c r="C11" s="19" t="s">
        <v>99</v>
      </c>
      <c r="D11" s="11" t="s">
        <v>78</v>
      </c>
      <c r="E11" s="11" t="s">
        <v>87</v>
      </c>
      <c r="F11" s="12">
        <v>1</v>
      </c>
      <c r="G11" s="25">
        <v>2609.5820591233432</v>
      </c>
      <c r="H11" s="13">
        <v>0</v>
      </c>
      <c r="I11" s="25">
        <v>1.3639768598388177E-4</v>
      </c>
      <c r="J11" s="14">
        <v>0</v>
      </c>
      <c r="K11" s="14">
        <v>5000</v>
      </c>
      <c r="N11" s="14">
        <v>0</v>
      </c>
      <c r="O11" s="14">
        <v>0.5</v>
      </c>
      <c r="P11" s="12">
        <v>0</v>
      </c>
      <c r="Q11" s="25">
        <v>8.865849588952316E-3</v>
      </c>
      <c r="R11" s="27">
        <v>0</v>
      </c>
      <c r="S11" s="12">
        <v>0</v>
      </c>
      <c r="T11" s="12">
        <v>0</v>
      </c>
      <c r="U11" s="14">
        <v>99999999999</v>
      </c>
      <c r="V11" s="14">
        <v>99999999999</v>
      </c>
      <c r="W11" s="13">
        <f t="shared" si="0"/>
        <v>1.9160156250000002</v>
      </c>
      <c r="Y11">
        <v>1949</v>
      </c>
      <c r="AA11">
        <v>4741000001</v>
      </c>
      <c r="AB11">
        <v>15214</v>
      </c>
    </row>
    <row r="12" spans="1:30" x14ac:dyDescent="0.25">
      <c r="B12" s="20"/>
      <c r="C12" s="19" t="s">
        <v>100</v>
      </c>
      <c r="D12" s="11" t="s">
        <v>78</v>
      </c>
      <c r="E12" s="11" t="s">
        <v>87</v>
      </c>
      <c r="F12" s="12">
        <v>1</v>
      </c>
      <c r="G12" s="25">
        <v>815.49439347604493</v>
      </c>
      <c r="H12" s="13">
        <v>0</v>
      </c>
      <c r="I12" s="25">
        <v>2.5224658889183604E-4</v>
      </c>
      <c r="J12" s="14">
        <v>0</v>
      </c>
      <c r="K12" s="14">
        <v>5000</v>
      </c>
      <c r="N12" s="14">
        <v>0</v>
      </c>
      <c r="O12" s="14">
        <v>0.5</v>
      </c>
      <c r="P12" s="12">
        <v>0</v>
      </c>
      <c r="Q12" s="25">
        <v>1.2856572927425324E-2</v>
      </c>
      <c r="R12" s="27">
        <v>0</v>
      </c>
      <c r="S12" s="12">
        <v>0</v>
      </c>
      <c r="T12" s="12">
        <v>0</v>
      </c>
      <c r="U12" s="14">
        <v>99999999999</v>
      </c>
      <c r="V12" s="14">
        <v>99999999999</v>
      </c>
      <c r="W12" s="13">
        <f t="shared" si="0"/>
        <v>6.1312499999999996</v>
      </c>
      <c r="Y12">
        <v>1994</v>
      </c>
      <c r="AA12">
        <v>4717426321</v>
      </c>
      <c r="AB12">
        <v>1472277926</v>
      </c>
    </row>
    <row r="13" spans="1:30" x14ac:dyDescent="0.25">
      <c r="B13" s="20"/>
      <c r="C13" s="19" t="s">
        <v>101</v>
      </c>
      <c r="D13" s="11" t="s">
        <v>78</v>
      </c>
      <c r="E13" s="11" t="s">
        <v>87</v>
      </c>
      <c r="F13" s="12">
        <v>1</v>
      </c>
      <c r="G13" s="25">
        <v>1957.1865443425077</v>
      </c>
      <c r="H13" s="13">
        <v>0</v>
      </c>
      <c r="I13" s="25">
        <v>9.3643427926305622E-5</v>
      </c>
      <c r="J13" s="14">
        <v>0</v>
      </c>
      <c r="K13" s="14">
        <v>5000</v>
      </c>
      <c r="N13" s="14">
        <v>0</v>
      </c>
      <c r="O13" s="14">
        <v>0.5</v>
      </c>
      <c r="P13" s="12">
        <v>0</v>
      </c>
      <c r="Q13" s="25">
        <v>6.0868228152098653E-3</v>
      </c>
      <c r="R13" s="27">
        <v>0</v>
      </c>
      <c r="S13" s="12">
        <v>0</v>
      </c>
      <c r="T13" s="12">
        <v>0</v>
      </c>
      <c r="U13" s="14">
        <v>99999999999</v>
      </c>
      <c r="V13" s="14">
        <v>99999999999</v>
      </c>
      <c r="W13" s="13">
        <f t="shared" si="0"/>
        <v>2.5546875</v>
      </c>
      <c r="Y13">
        <v>1998</v>
      </c>
      <c r="AA13">
        <v>4718651301</v>
      </c>
      <c r="AB13">
        <v>1533601401</v>
      </c>
    </row>
    <row r="14" spans="1:30" x14ac:dyDescent="0.25">
      <c r="B14" s="20"/>
      <c r="C14" s="19" t="s">
        <v>102</v>
      </c>
      <c r="D14" s="11" t="s">
        <v>78</v>
      </c>
      <c r="E14" s="11" t="s">
        <v>87</v>
      </c>
      <c r="F14" s="12">
        <v>1</v>
      </c>
      <c r="G14" s="25">
        <v>66.377450631771097</v>
      </c>
      <c r="H14" s="13">
        <v>0</v>
      </c>
      <c r="I14" s="25">
        <v>7.2708447849138697E-5</v>
      </c>
      <c r="J14" s="14">
        <v>0</v>
      </c>
      <c r="K14" s="14">
        <v>5000</v>
      </c>
      <c r="N14" s="14">
        <v>0</v>
      </c>
      <c r="O14" s="14">
        <v>0.5</v>
      </c>
      <c r="P14" s="12">
        <v>0</v>
      </c>
      <c r="Q14" s="25">
        <v>4.7260491101940149E-3</v>
      </c>
      <c r="R14" s="27">
        <v>0</v>
      </c>
      <c r="S14" s="12">
        <v>0</v>
      </c>
      <c r="T14" s="12">
        <v>0</v>
      </c>
      <c r="U14" s="14">
        <v>99999999999</v>
      </c>
      <c r="V14" s="14">
        <v>99999999999</v>
      </c>
      <c r="W14" s="13">
        <f t="shared" si="0"/>
        <v>75.326785714285705</v>
      </c>
      <c r="Y14">
        <v>1974</v>
      </c>
      <c r="AA14">
        <v>46785118</v>
      </c>
      <c r="AB14">
        <v>1558555701</v>
      </c>
    </row>
    <row r="15" spans="1:30" x14ac:dyDescent="0.25">
      <c r="B15" s="20"/>
      <c r="C15" s="19" t="s">
        <v>103</v>
      </c>
      <c r="D15" s="11" t="s">
        <v>78</v>
      </c>
      <c r="E15" s="11" t="s">
        <v>87</v>
      </c>
      <c r="F15" s="12">
        <v>1</v>
      </c>
      <c r="G15" s="25">
        <v>69.171399446628797</v>
      </c>
      <c r="H15" s="13">
        <v>0</v>
      </c>
      <c r="I15" s="25">
        <v>1.12898177984472E-4</v>
      </c>
      <c r="J15" s="14">
        <v>0</v>
      </c>
      <c r="K15" s="14">
        <v>5000</v>
      </c>
      <c r="N15" s="14">
        <v>0</v>
      </c>
      <c r="O15" s="14">
        <v>0.5</v>
      </c>
      <c r="P15" s="12">
        <v>0</v>
      </c>
      <c r="Q15" s="25">
        <v>7.3383815689906798E-3</v>
      </c>
      <c r="R15" s="27">
        <v>0</v>
      </c>
      <c r="S15" s="12">
        <v>0</v>
      </c>
      <c r="T15" s="12">
        <v>0</v>
      </c>
      <c r="U15" s="14">
        <v>99999999999</v>
      </c>
      <c r="V15" s="14">
        <v>99999999999</v>
      </c>
      <c r="W15" s="13">
        <f t="shared" si="0"/>
        <v>72.284210526315803</v>
      </c>
      <c r="Y15">
        <v>2011</v>
      </c>
      <c r="AA15">
        <v>4699784101</v>
      </c>
      <c r="AB15">
        <v>1546751901</v>
      </c>
    </row>
    <row r="16" spans="1:30" x14ac:dyDescent="0.25">
      <c r="B16" s="20"/>
      <c r="C16" s="19" t="s">
        <v>104</v>
      </c>
      <c r="D16" s="11" t="s">
        <v>78</v>
      </c>
      <c r="E16" s="11" t="s">
        <v>87</v>
      </c>
      <c r="F16" s="12">
        <v>1</v>
      </c>
      <c r="G16" s="25">
        <v>60.728305897152282</v>
      </c>
      <c r="H16" s="13">
        <v>0</v>
      </c>
      <c r="I16" s="25">
        <v>1.9032505466392189E-5</v>
      </c>
      <c r="J16" s="14">
        <v>0</v>
      </c>
      <c r="K16" s="14">
        <v>5000</v>
      </c>
      <c r="N16" s="14">
        <v>0</v>
      </c>
      <c r="O16" s="14">
        <v>0.5</v>
      </c>
      <c r="P16" s="12">
        <v>0</v>
      </c>
      <c r="Q16" s="25">
        <v>1.2371128553154923E-3</v>
      </c>
      <c r="R16" s="27">
        <v>0</v>
      </c>
      <c r="S16" s="12">
        <v>0</v>
      </c>
      <c r="T16" s="12">
        <v>0</v>
      </c>
      <c r="U16" s="14">
        <v>99999999999</v>
      </c>
      <c r="V16" s="14">
        <v>99999999999</v>
      </c>
      <c r="W16" s="13">
        <f t="shared" si="0"/>
        <v>82.333928571428558</v>
      </c>
      <c r="Y16">
        <v>1964</v>
      </c>
      <c r="AA16">
        <v>4682809068</v>
      </c>
      <c r="AB16">
        <v>1556616553</v>
      </c>
    </row>
    <row r="17" spans="2:28" x14ac:dyDescent="0.25">
      <c r="B17" s="20"/>
      <c r="C17" s="19" t="s">
        <v>105</v>
      </c>
      <c r="D17" s="11" t="s">
        <v>78</v>
      </c>
      <c r="E17" s="11" t="s">
        <v>87</v>
      </c>
      <c r="F17" s="12">
        <v>1</v>
      </c>
      <c r="G17" s="25">
        <v>69.003371755665327</v>
      </c>
      <c r="H17" s="13">
        <v>0</v>
      </c>
      <c r="I17" s="25">
        <v>5.9495468904415532E-5</v>
      </c>
      <c r="J17" s="14">
        <v>0</v>
      </c>
      <c r="K17" s="14">
        <v>5000</v>
      </c>
      <c r="N17" s="14">
        <v>0</v>
      </c>
      <c r="O17" s="14">
        <v>0.5</v>
      </c>
      <c r="P17" s="12">
        <v>0</v>
      </c>
      <c r="Q17" s="25">
        <v>3.8672054787870095E-3</v>
      </c>
      <c r="R17" s="27">
        <v>0</v>
      </c>
      <c r="S17" s="12">
        <v>0</v>
      </c>
      <c r="T17" s="12">
        <v>0</v>
      </c>
      <c r="U17" s="14">
        <v>99999999999</v>
      </c>
      <c r="V17" s="14">
        <v>99999999999</v>
      </c>
      <c r="W17" s="13">
        <f t="shared" si="0"/>
        <v>72.46022727272728</v>
      </c>
      <c r="Y17">
        <v>2024</v>
      </c>
      <c r="AA17">
        <v>4713909101</v>
      </c>
      <c r="AB17">
        <v>1532804601</v>
      </c>
    </row>
    <row r="18" spans="2:28" x14ac:dyDescent="0.25">
      <c r="B18" s="20"/>
      <c r="C18" s="19" t="s">
        <v>106</v>
      </c>
      <c r="D18" s="11" t="s">
        <v>78</v>
      </c>
      <c r="E18" s="11" t="s">
        <v>87</v>
      </c>
      <c r="F18" s="12">
        <v>1</v>
      </c>
      <c r="G18" s="25">
        <v>67.257269565034619</v>
      </c>
      <c r="H18" s="13">
        <v>0</v>
      </c>
      <c r="I18" s="25">
        <v>1.0448815569668966E-4</v>
      </c>
      <c r="J18" s="14">
        <v>0</v>
      </c>
      <c r="K18" s="14">
        <v>5000</v>
      </c>
      <c r="N18" s="14">
        <v>0</v>
      </c>
      <c r="O18" s="14">
        <v>0.5</v>
      </c>
      <c r="P18" s="12">
        <v>0</v>
      </c>
      <c r="Q18" s="25">
        <v>6.7917301202848283E-3</v>
      </c>
      <c r="R18" s="27">
        <v>0</v>
      </c>
      <c r="S18" s="12">
        <v>0</v>
      </c>
      <c r="T18" s="12">
        <v>0</v>
      </c>
      <c r="U18" s="14">
        <v>99999999999</v>
      </c>
      <c r="V18" s="14">
        <v>99999999999</v>
      </c>
      <c r="W18" s="13">
        <f t="shared" si="0"/>
        <v>74.341406250000006</v>
      </c>
      <c r="Y18">
        <v>0</v>
      </c>
      <c r="AA18">
        <v>4703986387</v>
      </c>
      <c r="AB18">
        <v>1544275136</v>
      </c>
    </row>
    <row r="19" spans="2:28" x14ac:dyDescent="0.25">
      <c r="B19" s="20"/>
      <c r="C19" s="19" t="s">
        <v>107</v>
      </c>
      <c r="D19" s="11" t="s">
        <v>78</v>
      </c>
      <c r="E19" s="11" t="s">
        <v>87</v>
      </c>
      <c r="F19" s="12">
        <v>1</v>
      </c>
      <c r="G19" s="25">
        <v>978.59327217125383</v>
      </c>
      <c r="H19" s="13">
        <v>0</v>
      </c>
      <c r="I19" s="25">
        <v>2.5224658889183604E-4</v>
      </c>
      <c r="J19" s="14">
        <v>0</v>
      </c>
      <c r="K19" s="14">
        <v>5000</v>
      </c>
      <c r="N19" s="14">
        <v>0</v>
      </c>
      <c r="O19" s="14">
        <v>0.5</v>
      </c>
      <c r="P19" s="12">
        <v>0</v>
      </c>
      <c r="Q19" s="25">
        <v>1.2856572927425324E-2</v>
      </c>
      <c r="R19" s="27">
        <v>0</v>
      </c>
      <c r="S19" s="12">
        <v>0</v>
      </c>
      <c r="T19" s="12">
        <v>0</v>
      </c>
      <c r="U19" s="14">
        <v>99999999999</v>
      </c>
      <c r="V19" s="14">
        <v>99999999999</v>
      </c>
      <c r="W19" s="13">
        <f t="shared" si="0"/>
        <v>5.109375</v>
      </c>
      <c r="Y19">
        <v>0</v>
      </c>
      <c r="AA19">
        <v>4699409124</v>
      </c>
      <c r="AB19">
        <v>1508502495</v>
      </c>
    </row>
    <row r="20" spans="2:28" x14ac:dyDescent="0.25">
      <c r="B20" s="20"/>
      <c r="C20" s="19" t="s">
        <v>108</v>
      </c>
      <c r="D20" s="11" t="s">
        <v>78</v>
      </c>
      <c r="E20" s="11" t="s">
        <v>87</v>
      </c>
      <c r="F20" s="12">
        <v>1</v>
      </c>
      <c r="G20" s="25">
        <v>84.811416921508666</v>
      </c>
      <c r="H20" s="23">
        <v>123.1396524</v>
      </c>
      <c r="I20" s="25">
        <v>4.9272151773994549E-3</v>
      </c>
      <c r="J20" s="22">
        <v>1.6999999999999999E-3</v>
      </c>
      <c r="K20" s="14">
        <v>15000000</v>
      </c>
      <c r="N20" s="14">
        <v>0</v>
      </c>
      <c r="O20" s="14">
        <v>0.5</v>
      </c>
      <c r="P20" s="12">
        <v>1</v>
      </c>
      <c r="Q20" s="25">
        <v>0.32026898653096453</v>
      </c>
      <c r="R20" s="27">
        <v>0</v>
      </c>
      <c r="S20" s="12">
        <v>0</v>
      </c>
      <c r="T20" s="12">
        <v>0</v>
      </c>
      <c r="U20" s="14">
        <v>99999999999</v>
      </c>
      <c r="V20" s="14">
        <v>99999999999</v>
      </c>
      <c r="W20" s="13">
        <f t="shared" si="0"/>
        <v>176862.98076923078</v>
      </c>
      <c r="Y20">
        <v>0</v>
      </c>
      <c r="AA20">
        <v>4710370743</v>
      </c>
      <c r="AB20">
        <v>1348112241</v>
      </c>
    </row>
    <row r="21" spans="2:28" x14ac:dyDescent="0.25">
      <c r="B21" s="20"/>
      <c r="C21" s="19" t="s">
        <v>109</v>
      </c>
      <c r="D21" s="11" t="s">
        <v>78</v>
      </c>
      <c r="E21" s="11" t="s">
        <v>87</v>
      </c>
      <c r="F21" s="12">
        <v>1</v>
      </c>
      <c r="G21" s="25">
        <v>69.171399446628797</v>
      </c>
      <c r="H21" s="13">
        <v>0</v>
      </c>
      <c r="I21" s="25">
        <v>1.0348150151375814E-4</v>
      </c>
      <c r="J21" s="14">
        <v>0</v>
      </c>
      <c r="K21" s="14">
        <v>5000</v>
      </c>
      <c r="N21" s="14">
        <v>0</v>
      </c>
      <c r="O21" s="14">
        <v>0.5</v>
      </c>
      <c r="P21" s="12">
        <v>0</v>
      </c>
      <c r="Q21" s="25">
        <v>6.7262975983942794E-3</v>
      </c>
      <c r="R21" s="27">
        <v>0</v>
      </c>
      <c r="S21" s="12">
        <v>0</v>
      </c>
      <c r="T21" s="12">
        <v>0</v>
      </c>
      <c r="U21" s="14">
        <v>99999999999</v>
      </c>
      <c r="V21" s="14">
        <v>99999999999</v>
      </c>
      <c r="W21" s="13">
        <f t="shared" si="0"/>
        <v>72.284210526315803</v>
      </c>
      <c r="Y21">
        <v>2013</v>
      </c>
      <c r="AA21">
        <v>4694360461</v>
      </c>
      <c r="AB21">
        <v>155040946</v>
      </c>
    </row>
    <row r="22" spans="2:28" x14ac:dyDescent="0.25">
      <c r="B22" s="20"/>
      <c r="C22" s="19" t="s">
        <v>110</v>
      </c>
      <c r="D22" s="11" t="s">
        <v>78</v>
      </c>
      <c r="E22" s="11" t="s">
        <v>87</v>
      </c>
      <c r="F22" s="12">
        <v>1</v>
      </c>
      <c r="G22" s="25">
        <v>85.342436526562835</v>
      </c>
      <c r="H22" s="13">
        <v>0</v>
      </c>
      <c r="I22" s="25">
        <v>1.4666336007454863E-4</v>
      </c>
      <c r="J22" s="14">
        <v>0</v>
      </c>
      <c r="K22" s="14">
        <v>5000</v>
      </c>
      <c r="N22" s="14">
        <v>0</v>
      </c>
      <c r="O22" s="14">
        <v>0.5</v>
      </c>
      <c r="P22" s="12">
        <v>0</v>
      </c>
      <c r="Q22" s="25">
        <v>9.5331184048456606E-3</v>
      </c>
      <c r="R22" s="27">
        <v>0</v>
      </c>
      <c r="S22" s="12">
        <v>0</v>
      </c>
      <c r="T22" s="12">
        <v>0</v>
      </c>
      <c r="U22" s="14">
        <v>99999999999</v>
      </c>
      <c r="V22" s="14">
        <v>99999999999</v>
      </c>
      <c r="W22" s="13">
        <f t="shared" si="0"/>
        <v>58.587499999999999</v>
      </c>
      <c r="Y22">
        <v>2023</v>
      </c>
      <c r="AA22">
        <v>4729200001</v>
      </c>
      <c r="AB22">
        <v>15323</v>
      </c>
    </row>
    <row r="23" spans="2:28" x14ac:dyDescent="0.25">
      <c r="B23" s="20"/>
      <c r="C23" s="19" t="s">
        <v>111</v>
      </c>
      <c r="D23" s="11" t="s">
        <v>78</v>
      </c>
      <c r="E23" s="11" t="s">
        <v>87</v>
      </c>
      <c r="F23" s="12">
        <v>1</v>
      </c>
      <c r="G23" s="25">
        <v>807.49935040275034</v>
      </c>
      <c r="H23" s="13">
        <v>0</v>
      </c>
      <c r="I23" s="25">
        <v>8.9709393743275537E-5</v>
      </c>
      <c r="J23" s="14">
        <v>0</v>
      </c>
      <c r="K23" s="14">
        <v>5000</v>
      </c>
      <c r="N23" s="14">
        <v>0</v>
      </c>
      <c r="O23" s="14">
        <v>0.5</v>
      </c>
      <c r="P23" s="12">
        <v>0</v>
      </c>
      <c r="Q23" s="25">
        <v>5.8311105933129097E-3</v>
      </c>
      <c r="R23" s="27">
        <v>0</v>
      </c>
      <c r="S23" s="12">
        <v>0</v>
      </c>
      <c r="T23" s="12">
        <v>0</v>
      </c>
      <c r="U23" s="14">
        <v>99999999999</v>
      </c>
      <c r="V23" s="14">
        <v>99999999999</v>
      </c>
      <c r="W23" s="13">
        <f t="shared" si="0"/>
        <v>6.1919554455445542</v>
      </c>
      <c r="Y23">
        <v>1988</v>
      </c>
      <c r="AA23">
        <v>46857847</v>
      </c>
      <c r="AB23">
        <v>1553730001</v>
      </c>
    </row>
    <row r="24" spans="2:28" x14ac:dyDescent="0.25">
      <c r="B24" s="20"/>
      <c r="C24" s="19" t="s">
        <v>112</v>
      </c>
      <c r="D24" s="11" t="s">
        <v>78</v>
      </c>
      <c r="E24" s="11" t="s">
        <v>87</v>
      </c>
      <c r="F24" s="12">
        <v>1</v>
      </c>
      <c r="G24" s="25">
        <v>509.68399592252803</v>
      </c>
      <c r="H24" s="13">
        <v>0</v>
      </c>
      <c r="I24" s="25">
        <v>6.8370332515645875E-5</v>
      </c>
      <c r="J24" s="14">
        <v>0</v>
      </c>
      <c r="K24" s="14">
        <v>5000</v>
      </c>
      <c r="N24" s="14">
        <v>0</v>
      </c>
      <c r="O24" s="14">
        <v>0.5</v>
      </c>
      <c r="P24" s="12">
        <v>0</v>
      </c>
      <c r="Q24" s="25">
        <v>4.444071613516982E-3</v>
      </c>
      <c r="R24" s="27">
        <v>0</v>
      </c>
      <c r="S24" s="12">
        <v>0</v>
      </c>
      <c r="T24" s="12">
        <v>0</v>
      </c>
      <c r="U24" s="14">
        <v>99999999999</v>
      </c>
      <c r="V24" s="14">
        <v>99999999999</v>
      </c>
      <c r="W24" s="13">
        <f t="shared" si="0"/>
        <v>9.81</v>
      </c>
      <c r="Y24">
        <v>0</v>
      </c>
      <c r="AA24">
        <v>4738847601</v>
      </c>
      <c r="AB24">
        <v>15095161</v>
      </c>
    </row>
    <row r="25" spans="2:28" x14ac:dyDescent="0.25">
      <c r="B25" s="20"/>
      <c r="C25" s="19" t="s">
        <v>113</v>
      </c>
      <c r="D25" s="11" t="s">
        <v>78</v>
      </c>
      <c r="E25" s="11" t="s">
        <v>88</v>
      </c>
      <c r="F25" s="12">
        <v>1</v>
      </c>
      <c r="G25" s="25">
        <v>662.5891946992864</v>
      </c>
      <c r="H25" s="13">
        <v>0</v>
      </c>
      <c r="I25" s="25">
        <v>2.5224658889183604E-4</v>
      </c>
      <c r="J25" s="14">
        <v>0</v>
      </c>
      <c r="K25" s="14">
        <v>5000</v>
      </c>
      <c r="N25" s="14">
        <v>0</v>
      </c>
      <c r="O25" s="14">
        <v>0.5</v>
      </c>
      <c r="P25" s="12">
        <v>0</v>
      </c>
      <c r="Q25" s="25">
        <v>1.2856572927425324E-2</v>
      </c>
      <c r="R25" s="27">
        <v>0</v>
      </c>
      <c r="S25" s="12">
        <v>0</v>
      </c>
      <c r="T25" s="12">
        <v>0</v>
      </c>
      <c r="U25" s="14">
        <v>99999999999</v>
      </c>
      <c r="V25" s="14">
        <v>99999999999</v>
      </c>
      <c r="W25" s="13">
        <f t="shared" si="0"/>
        <v>7.5461538461538469</v>
      </c>
      <c r="Y25">
        <v>0</v>
      </c>
      <c r="AA25">
        <v>4674575769</v>
      </c>
      <c r="AB25">
        <v>1557182718</v>
      </c>
    </row>
    <row r="26" spans="2:28" x14ac:dyDescent="0.25">
      <c r="B26" s="20"/>
      <c r="C26" s="19" t="s">
        <v>114</v>
      </c>
      <c r="D26" s="11" t="s">
        <v>78</v>
      </c>
      <c r="E26" s="11" t="s">
        <v>88</v>
      </c>
      <c r="F26" s="12">
        <v>1</v>
      </c>
      <c r="G26" s="25">
        <v>611.6207951070337</v>
      </c>
      <c r="H26" s="13">
        <v>0</v>
      </c>
      <c r="I26" s="25">
        <v>2.5224658889183604E-4</v>
      </c>
      <c r="J26" s="14">
        <v>0</v>
      </c>
      <c r="K26" s="14">
        <v>5000000</v>
      </c>
      <c r="N26" s="14">
        <v>0</v>
      </c>
      <c r="O26" s="14">
        <v>0.5</v>
      </c>
      <c r="P26" s="12">
        <v>1</v>
      </c>
      <c r="Q26" s="25">
        <v>1.2856572927425324E-2</v>
      </c>
      <c r="R26" s="27">
        <v>0</v>
      </c>
      <c r="S26" s="12">
        <v>0</v>
      </c>
      <c r="T26" s="12">
        <v>0</v>
      </c>
      <c r="U26" s="14">
        <v>99999999999</v>
      </c>
      <c r="V26" s="14">
        <v>99999999999</v>
      </c>
      <c r="W26" s="13">
        <f t="shared" si="0"/>
        <v>8174.9999999999991</v>
      </c>
      <c r="Y26">
        <v>0</v>
      </c>
      <c r="AA26">
        <v>4697878577</v>
      </c>
      <c r="AB26">
        <v>1502319618</v>
      </c>
    </row>
    <row r="27" spans="2:28" x14ac:dyDescent="0.25">
      <c r="B27" s="20"/>
      <c r="C27" s="19" t="s">
        <v>115</v>
      </c>
      <c r="D27" s="11" t="s">
        <v>78</v>
      </c>
      <c r="E27" s="11" t="s">
        <v>88</v>
      </c>
      <c r="F27" s="12">
        <v>1</v>
      </c>
      <c r="G27" s="25">
        <v>588.96817306603248</v>
      </c>
      <c r="H27" s="13">
        <v>0</v>
      </c>
      <c r="I27" s="25">
        <v>9.8526263529088916E-5</v>
      </c>
      <c r="J27" s="14">
        <v>0</v>
      </c>
      <c r="K27" s="14">
        <v>5000</v>
      </c>
      <c r="N27" s="14">
        <v>0</v>
      </c>
      <c r="O27" s="14">
        <v>0.5</v>
      </c>
      <c r="P27" s="12">
        <v>0</v>
      </c>
      <c r="Q27" s="25">
        <v>6.4042071293907796E-3</v>
      </c>
      <c r="R27" s="27">
        <v>0</v>
      </c>
      <c r="S27" s="12">
        <v>0</v>
      </c>
      <c r="T27" s="12">
        <v>0</v>
      </c>
      <c r="U27" s="14">
        <v>99999999999</v>
      </c>
      <c r="V27" s="14">
        <v>99999999999</v>
      </c>
      <c r="W27" s="13">
        <f t="shared" si="0"/>
        <v>8.4894230769230763</v>
      </c>
      <c r="Y27">
        <v>2009</v>
      </c>
      <c r="AA27">
        <v>4720926001</v>
      </c>
      <c r="AB27">
        <v>15335656</v>
      </c>
    </row>
    <row r="28" spans="2:28" x14ac:dyDescent="0.25">
      <c r="B28" s="20"/>
      <c r="C28" s="19" t="s">
        <v>116</v>
      </c>
      <c r="D28" s="11" t="s">
        <v>78</v>
      </c>
      <c r="E28" s="11" t="s">
        <v>88</v>
      </c>
      <c r="F28" s="12">
        <v>1</v>
      </c>
      <c r="G28" s="25">
        <v>87665.647298674812</v>
      </c>
      <c r="H28" s="13">
        <v>0</v>
      </c>
      <c r="I28" s="25">
        <v>2.5224658889183604E-4</v>
      </c>
      <c r="J28" s="14">
        <v>0</v>
      </c>
      <c r="K28" s="14">
        <v>5000</v>
      </c>
      <c r="N28" s="14">
        <v>0</v>
      </c>
      <c r="O28" s="14">
        <v>0.5</v>
      </c>
      <c r="P28" s="12">
        <v>0</v>
      </c>
      <c r="Q28" s="25">
        <v>1.2856572927425324E-2</v>
      </c>
      <c r="R28" s="27">
        <v>0</v>
      </c>
      <c r="S28" s="12">
        <v>0</v>
      </c>
      <c r="T28" s="12">
        <v>0</v>
      </c>
      <c r="U28" s="14">
        <v>99999999999</v>
      </c>
      <c r="V28" s="14">
        <v>99999999999</v>
      </c>
      <c r="W28" s="13">
        <f t="shared" si="0"/>
        <v>5.7034883720930241E-2</v>
      </c>
      <c r="Y28">
        <v>2013</v>
      </c>
      <c r="AA28">
        <v>4736520001</v>
      </c>
      <c r="AB28">
        <v>1533440001</v>
      </c>
    </row>
    <row r="29" spans="2:28" x14ac:dyDescent="0.25">
      <c r="B29" s="20"/>
      <c r="C29" s="19" t="s">
        <v>117</v>
      </c>
      <c r="D29" s="11" t="s">
        <v>78</v>
      </c>
      <c r="E29" s="11" t="s">
        <v>88</v>
      </c>
      <c r="F29" s="12">
        <v>1</v>
      </c>
      <c r="G29" s="25">
        <v>81.549439347604476</v>
      </c>
      <c r="H29" s="13">
        <v>0</v>
      </c>
      <c r="I29" s="25">
        <v>2.5224658889183604E-4</v>
      </c>
      <c r="J29" s="14">
        <v>0</v>
      </c>
      <c r="K29" s="14">
        <v>5000</v>
      </c>
      <c r="N29" s="14">
        <v>0</v>
      </c>
      <c r="O29" s="14">
        <v>0.5</v>
      </c>
      <c r="P29" s="12">
        <v>0</v>
      </c>
      <c r="Q29" s="25">
        <v>1.2856572927425324E-2</v>
      </c>
      <c r="R29" s="27">
        <v>0</v>
      </c>
      <c r="S29" s="12">
        <v>0</v>
      </c>
      <c r="T29" s="12">
        <v>0</v>
      </c>
      <c r="U29" s="14">
        <v>99999999999</v>
      </c>
      <c r="V29" s="14">
        <v>99999999999</v>
      </c>
      <c r="W29" s="13">
        <f t="shared" si="0"/>
        <v>61.312500000000007</v>
      </c>
      <c r="Y29">
        <v>0</v>
      </c>
      <c r="AA29">
        <v>4721774401</v>
      </c>
      <c r="AB29">
        <v>14599075</v>
      </c>
    </row>
    <row r="30" spans="2:28" x14ac:dyDescent="0.25">
      <c r="B30" s="20"/>
      <c r="C30" s="19" t="s">
        <v>118</v>
      </c>
      <c r="D30" s="11" t="s">
        <v>78</v>
      </c>
      <c r="E30" s="11" t="s">
        <v>88</v>
      </c>
      <c r="F30" s="12">
        <v>1</v>
      </c>
      <c r="G30" s="25">
        <v>634.27341714803492</v>
      </c>
      <c r="H30" s="13">
        <v>0</v>
      </c>
      <c r="I30" s="25">
        <v>7.8180055576928815E-5</v>
      </c>
      <c r="J30" s="14">
        <v>0</v>
      </c>
      <c r="K30" s="14">
        <v>5000</v>
      </c>
      <c r="N30" s="14">
        <v>0</v>
      </c>
      <c r="O30" s="14">
        <v>0.5</v>
      </c>
      <c r="P30" s="12">
        <v>0</v>
      </c>
      <c r="Q30" s="25">
        <v>5.0817036125003724E-3</v>
      </c>
      <c r="R30" s="27">
        <v>0</v>
      </c>
      <c r="S30" s="12">
        <v>0</v>
      </c>
      <c r="T30" s="12">
        <v>0</v>
      </c>
      <c r="U30" s="14">
        <v>99999999999</v>
      </c>
      <c r="V30" s="14">
        <v>99999999999</v>
      </c>
      <c r="W30" s="13">
        <f t="shared" si="0"/>
        <v>7.8830357142857137</v>
      </c>
      <c r="Y30">
        <v>0</v>
      </c>
      <c r="AA30">
        <v>4725087014</v>
      </c>
      <c r="AB30">
        <v>1531009022</v>
      </c>
    </row>
    <row r="31" spans="2:28" x14ac:dyDescent="0.25">
      <c r="B31" s="20"/>
      <c r="C31" s="19" t="s">
        <v>119</v>
      </c>
      <c r="D31" s="11" t="s">
        <v>78</v>
      </c>
      <c r="E31" s="11" t="s">
        <v>88</v>
      </c>
      <c r="F31" s="12">
        <v>1</v>
      </c>
      <c r="G31" s="25">
        <v>40.774719673802238</v>
      </c>
      <c r="H31" s="13">
        <v>0</v>
      </c>
      <c r="I31" s="25">
        <v>2.5224658889183604E-4</v>
      </c>
      <c r="J31" s="14">
        <v>0</v>
      </c>
      <c r="K31" s="14">
        <v>5000</v>
      </c>
      <c r="N31" s="14">
        <v>0</v>
      </c>
      <c r="O31" s="14">
        <v>0.5</v>
      </c>
      <c r="P31" s="12">
        <v>0</v>
      </c>
      <c r="Q31" s="25">
        <v>1.2856572927425324E-2</v>
      </c>
      <c r="R31" s="27">
        <v>0</v>
      </c>
      <c r="S31" s="12">
        <v>0</v>
      </c>
      <c r="T31" s="12">
        <v>0</v>
      </c>
      <c r="U31" s="14">
        <v>99999999999</v>
      </c>
      <c r="V31" s="14">
        <v>99999999999</v>
      </c>
      <c r="W31" s="13">
        <f t="shared" si="0"/>
        <v>122.62500000000001</v>
      </c>
      <c r="Y31">
        <v>0</v>
      </c>
      <c r="AA31">
        <v>4674433801</v>
      </c>
      <c r="AB31">
        <v>1557045501</v>
      </c>
    </row>
    <row r="32" spans="2:28" x14ac:dyDescent="0.25">
      <c r="B32" s="20"/>
      <c r="C32" t="s">
        <v>120</v>
      </c>
      <c r="D32" s="11" t="s">
        <v>78</v>
      </c>
      <c r="E32" s="11" t="s">
        <v>88</v>
      </c>
      <c r="F32" s="12">
        <v>1</v>
      </c>
      <c r="G32" s="25">
        <v>76.821935617308583</v>
      </c>
      <c r="H32" s="13">
        <v>0</v>
      </c>
      <c r="I32" s="25">
        <v>6.3496793032866511E-5</v>
      </c>
      <c r="J32" s="14">
        <v>0</v>
      </c>
      <c r="K32" s="14">
        <v>5000</v>
      </c>
      <c r="N32" s="14">
        <v>0</v>
      </c>
      <c r="O32" s="14">
        <v>0.5</v>
      </c>
      <c r="P32" s="12">
        <v>0</v>
      </c>
      <c r="Q32" s="25">
        <v>4.1272915471363232E-3</v>
      </c>
      <c r="R32" s="27">
        <v>0</v>
      </c>
      <c r="S32" s="12">
        <v>0</v>
      </c>
      <c r="T32" s="12">
        <v>0</v>
      </c>
      <c r="U32" s="14">
        <v>99999999999</v>
      </c>
      <c r="V32" s="14">
        <v>99999999999</v>
      </c>
      <c r="W32" s="13">
        <f t="shared" si="0"/>
        <v>65.085576923076914</v>
      </c>
      <c r="Y32">
        <v>1982</v>
      </c>
      <c r="AA32">
        <v>4671685586</v>
      </c>
      <c r="AB32">
        <v>1562152978</v>
      </c>
    </row>
    <row r="33" spans="2:28" x14ac:dyDescent="0.25">
      <c r="B33" s="20"/>
      <c r="C33" t="s">
        <v>121</v>
      </c>
      <c r="D33" s="11" t="s">
        <v>78</v>
      </c>
      <c r="E33" s="11" t="s">
        <v>88</v>
      </c>
      <c r="F33" s="12">
        <v>1</v>
      </c>
      <c r="G33" s="25">
        <v>28.782155063860408</v>
      </c>
      <c r="H33" s="13">
        <v>0</v>
      </c>
      <c r="I33" s="25">
        <v>1.6206168391813292E-4</v>
      </c>
      <c r="J33" s="14">
        <v>0</v>
      </c>
      <c r="K33" s="14">
        <v>5000</v>
      </c>
      <c r="N33" s="14">
        <v>0</v>
      </c>
      <c r="O33" s="14">
        <v>0.5</v>
      </c>
      <c r="P33" s="12">
        <v>0</v>
      </c>
      <c r="Q33" s="25">
        <v>1.0534009454678639E-2</v>
      </c>
      <c r="R33" s="27">
        <v>0</v>
      </c>
      <c r="S33" s="12">
        <v>0</v>
      </c>
      <c r="T33" s="12">
        <v>0</v>
      </c>
      <c r="U33" s="14">
        <v>99999999999</v>
      </c>
      <c r="V33" s="14">
        <v>99999999999</v>
      </c>
      <c r="W33" s="13">
        <f t="shared" si="0"/>
        <v>173.71875</v>
      </c>
      <c r="Y33">
        <v>1985</v>
      </c>
      <c r="AA33">
        <v>4710441021</v>
      </c>
      <c r="AB33">
        <v>1408673125</v>
      </c>
    </row>
    <row r="34" spans="2:28" x14ac:dyDescent="0.25">
      <c r="B34" s="20"/>
      <c r="C34" t="s">
        <v>122</v>
      </c>
      <c r="D34" s="11" t="s">
        <v>78</v>
      </c>
      <c r="E34" s="11" t="s">
        <v>88</v>
      </c>
      <c r="F34" s="12">
        <v>1</v>
      </c>
      <c r="G34" s="25">
        <v>652.39551478083581</v>
      </c>
      <c r="H34" s="13">
        <v>0</v>
      </c>
      <c r="I34" s="25">
        <v>2.5224658889183604E-4</v>
      </c>
      <c r="J34" s="14">
        <v>0</v>
      </c>
      <c r="K34" s="14">
        <v>5000</v>
      </c>
      <c r="N34" s="14">
        <v>0</v>
      </c>
      <c r="O34" s="14">
        <v>0.5</v>
      </c>
      <c r="P34" s="12">
        <v>0</v>
      </c>
      <c r="Q34" s="25">
        <v>1.2856572927425324E-2</v>
      </c>
      <c r="R34" s="27">
        <v>0</v>
      </c>
      <c r="S34" s="12">
        <v>0</v>
      </c>
      <c r="T34" s="12">
        <v>0</v>
      </c>
      <c r="U34" s="14">
        <v>99999999999</v>
      </c>
      <c r="V34" s="14">
        <v>99999999999</v>
      </c>
      <c r="W34" s="13">
        <f t="shared" si="0"/>
        <v>7.6640625000000009</v>
      </c>
      <c r="Y34">
        <v>0</v>
      </c>
      <c r="AA34">
        <v>4698734792</v>
      </c>
      <c r="AB34">
        <v>150912762</v>
      </c>
    </row>
    <row r="35" spans="2:28" x14ac:dyDescent="0.25">
      <c r="B35" s="20"/>
      <c r="C35" t="s">
        <v>123</v>
      </c>
      <c r="D35" s="11" t="s">
        <v>78</v>
      </c>
      <c r="E35" s="11" t="s">
        <v>88</v>
      </c>
      <c r="F35" s="12">
        <v>1</v>
      </c>
      <c r="G35" s="25">
        <v>489.29663608562691</v>
      </c>
      <c r="H35" s="13">
        <v>0</v>
      </c>
      <c r="I35" s="25">
        <v>2.5224658889183604E-4</v>
      </c>
      <c r="J35" s="14">
        <v>0</v>
      </c>
      <c r="K35" s="14">
        <v>5000</v>
      </c>
      <c r="N35" s="14">
        <v>0</v>
      </c>
      <c r="O35" s="14">
        <v>0.5</v>
      </c>
      <c r="P35" s="12">
        <v>0</v>
      </c>
      <c r="Q35" s="25">
        <v>1.2856572927425324E-2</v>
      </c>
      <c r="R35" s="27">
        <v>0</v>
      </c>
      <c r="S35" s="12">
        <v>0</v>
      </c>
      <c r="T35" s="12">
        <v>0</v>
      </c>
      <c r="U35" s="14">
        <v>99999999999</v>
      </c>
      <c r="V35" s="14">
        <v>99999999999</v>
      </c>
      <c r="W35" s="13">
        <f t="shared" si="0"/>
        <v>10.21875</v>
      </c>
      <c r="Y35">
        <v>0</v>
      </c>
      <c r="AA35">
        <v>4717522501</v>
      </c>
      <c r="AB35">
        <v>1532038501</v>
      </c>
    </row>
    <row r="36" spans="2:28" x14ac:dyDescent="0.25">
      <c r="B36" s="20"/>
      <c r="C36" t="s">
        <v>124</v>
      </c>
      <c r="D36" s="11" t="s">
        <v>78</v>
      </c>
      <c r="E36" s="11" t="s">
        <v>88</v>
      </c>
      <c r="F36" s="12">
        <v>1</v>
      </c>
      <c r="G36" s="25">
        <v>40.774719673802238</v>
      </c>
      <c r="H36" s="13">
        <v>0</v>
      </c>
      <c r="I36" s="25">
        <v>2.5224658889183604E-4</v>
      </c>
      <c r="J36" s="14">
        <v>0</v>
      </c>
      <c r="K36" s="14">
        <v>5000</v>
      </c>
      <c r="N36" s="14">
        <v>0</v>
      </c>
      <c r="O36" s="14">
        <v>0.5</v>
      </c>
      <c r="P36" s="12">
        <v>0</v>
      </c>
      <c r="Q36" s="25">
        <v>1.2856572927425324E-2</v>
      </c>
      <c r="R36" s="27">
        <v>0</v>
      </c>
      <c r="S36" s="12">
        <v>0</v>
      </c>
      <c r="T36" s="12">
        <v>0</v>
      </c>
      <c r="U36" s="14">
        <v>99999999999</v>
      </c>
      <c r="V36" s="14">
        <v>99999999999</v>
      </c>
      <c r="W36" s="13">
        <f t="shared" si="0"/>
        <v>122.62500000000001</v>
      </c>
      <c r="Y36">
        <v>0</v>
      </c>
      <c r="AA36">
        <v>4702151301</v>
      </c>
      <c r="AB36">
        <v>1516653701</v>
      </c>
    </row>
    <row r="37" spans="2:28" x14ac:dyDescent="0.25">
      <c r="B37" s="20"/>
      <c r="C37" t="s">
        <v>125</v>
      </c>
      <c r="D37" s="11" t="s">
        <v>78</v>
      </c>
      <c r="E37" s="11" t="s">
        <v>88</v>
      </c>
      <c r="F37" s="12">
        <v>1</v>
      </c>
      <c r="G37" s="25">
        <v>40.774719673802238</v>
      </c>
      <c r="H37" s="13">
        <v>0</v>
      </c>
      <c r="I37" s="25">
        <v>2.5224658889183604E-4</v>
      </c>
      <c r="J37" s="14">
        <v>0</v>
      </c>
      <c r="K37" s="14">
        <v>5000</v>
      </c>
      <c r="N37" s="14">
        <v>0</v>
      </c>
      <c r="O37" s="14">
        <v>0.5</v>
      </c>
      <c r="P37" s="12">
        <v>0</v>
      </c>
      <c r="Q37" s="25">
        <v>1.2856572927425324E-2</v>
      </c>
      <c r="R37" s="27">
        <v>0</v>
      </c>
      <c r="S37" s="12">
        <v>0</v>
      </c>
      <c r="T37" s="12">
        <v>0</v>
      </c>
      <c r="U37" s="14">
        <v>99999999999</v>
      </c>
      <c r="V37" s="14">
        <v>99999999999</v>
      </c>
      <c r="W37" s="13">
        <f t="shared" si="0"/>
        <v>122.62500000000001</v>
      </c>
      <c r="Y37">
        <v>0</v>
      </c>
      <c r="AA37">
        <v>4749543701</v>
      </c>
      <c r="AB37">
        <v>1499248</v>
      </c>
    </row>
    <row r="38" spans="2:28" x14ac:dyDescent="0.25">
      <c r="B38" s="20"/>
      <c r="C38" t="s">
        <v>126</v>
      </c>
      <c r="D38" s="11" t="s">
        <v>78</v>
      </c>
      <c r="E38" s="11" t="s">
        <v>88</v>
      </c>
      <c r="F38" s="12">
        <v>1</v>
      </c>
      <c r="G38" s="25">
        <v>630.1547585951256</v>
      </c>
      <c r="H38" s="13">
        <v>0</v>
      </c>
      <c r="I38" s="25">
        <v>2.5224658889183604E-4</v>
      </c>
      <c r="J38" s="14">
        <v>0</v>
      </c>
      <c r="K38" s="14">
        <v>5000</v>
      </c>
      <c r="N38" s="14">
        <v>0</v>
      </c>
      <c r="O38" s="14">
        <v>0.5</v>
      </c>
      <c r="P38" s="12">
        <v>0</v>
      </c>
      <c r="Q38" s="25">
        <v>1.2856572927425324E-2</v>
      </c>
      <c r="R38" s="27">
        <v>0</v>
      </c>
      <c r="S38" s="12">
        <v>0</v>
      </c>
      <c r="T38" s="12">
        <v>0</v>
      </c>
      <c r="U38" s="14">
        <v>99999999999</v>
      </c>
      <c r="V38" s="14">
        <v>99999999999</v>
      </c>
      <c r="W38" s="13">
        <f t="shared" si="0"/>
        <v>7.9345588235294118</v>
      </c>
      <c r="Y38">
        <v>1982</v>
      </c>
      <c r="AA38">
        <v>4710900101</v>
      </c>
      <c r="AB38">
        <v>1539200001</v>
      </c>
    </row>
    <row r="39" spans="2:28" x14ac:dyDescent="0.25">
      <c r="B39" s="20"/>
      <c r="C39" t="s">
        <v>127</v>
      </c>
      <c r="D39" s="11" t="s">
        <v>78</v>
      </c>
      <c r="E39" s="11" t="s">
        <v>88</v>
      </c>
      <c r="F39" s="12">
        <v>1</v>
      </c>
      <c r="G39" s="25">
        <v>40.774719673802238</v>
      </c>
      <c r="H39" s="13">
        <v>0</v>
      </c>
      <c r="I39" s="25">
        <v>2.5224658889183604E-4</v>
      </c>
      <c r="J39" s="14">
        <v>0</v>
      </c>
      <c r="K39" s="14">
        <v>5000</v>
      </c>
      <c r="N39" s="14">
        <v>0</v>
      </c>
      <c r="O39" s="14">
        <v>0.5</v>
      </c>
      <c r="P39" s="12">
        <v>0</v>
      </c>
      <c r="Q39" s="25">
        <v>1.2856572927425324E-2</v>
      </c>
      <c r="R39" s="27">
        <v>0</v>
      </c>
      <c r="S39" s="12">
        <v>0</v>
      </c>
      <c r="T39" s="12">
        <v>0</v>
      </c>
      <c r="U39" s="14">
        <v>99999999999</v>
      </c>
      <c r="V39" s="14">
        <v>99999999999</v>
      </c>
      <c r="W39" s="13">
        <f t="shared" si="0"/>
        <v>122.62500000000001</v>
      </c>
      <c r="Y39">
        <v>0</v>
      </c>
      <c r="AA39">
        <v>4691254801</v>
      </c>
      <c r="AB39">
        <v>1548666401</v>
      </c>
    </row>
    <row r="40" spans="2:28" x14ac:dyDescent="0.25">
      <c r="B40" s="20"/>
      <c r="C40" t="s">
        <v>128</v>
      </c>
      <c r="D40" s="11" t="s">
        <v>78</v>
      </c>
      <c r="E40" s="11" t="s">
        <v>88</v>
      </c>
      <c r="F40" s="12">
        <v>1</v>
      </c>
      <c r="G40" s="25">
        <v>2201.8348623853208</v>
      </c>
      <c r="H40" s="13">
        <v>0</v>
      </c>
      <c r="I40" s="25">
        <v>2.5224658889183604E-4</v>
      </c>
      <c r="J40" s="14">
        <v>0</v>
      </c>
      <c r="K40" s="14">
        <v>5000</v>
      </c>
      <c r="N40" s="14">
        <v>0</v>
      </c>
      <c r="O40" s="14">
        <v>0.5</v>
      </c>
      <c r="P40" s="12">
        <v>0</v>
      </c>
      <c r="Q40" s="25">
        <v>1.2856572927425324E-2</v>
      </c>
      <c r="R40" s="27">
        <v>0</v>
      </c>
      <c r="S40" s="12">
        <v>0</v>
      </c>
      <c r="T40" s="12">
        <v>0</v>
      </c>
      <c r="U40" s="14">
        <v>99999999999</v>
      </c>
      <c r="V40" s="14">
        <v>99999999999</v>
      </c>
      <c r="W40" s="13">
        <f t="shared" si="0"/>
        <v>2.2708333333333335</v>
      </c>
      <c r="Y40">
        <v>1988</v>
      </c>
      <c r="AA40">
        <v>4720008473</v>
      </c>
      <c r="AB40">
        <v>1444253532</v>
      </c>
    </row>
    <row r="41" spans="2:28" x14ac:dyDescent="0.25">
      <c r="B41" s="20"/>
      <c r="C41" t="s">
        <v>129</v>
      </c>
      <c r="D41" s="11" t="s">
        <v>78</v>
      </c>
      <c r="E41" s="11" t="s">
        <v>88</v>
      </c>
      <c r="F41" s="12">
        <v>1</v>
      </c>
      <c r="G41" s="25">
        <v>1.6059361825050114</v>
      </c>
      <c r="H41" s="13">
        <v>0</v>
      </c>
      <c r="I41" s="25">
        <v>1.010294719501774E-3</v>
      </c>
      <c r="J41" s="14">
        <v>0</v>
      </c>
      <c r="K41" s="14">
        <v>5000</v>
      </c>
      <c r="N41" s="14">
        <v>0</v>
      </c>
      <c r="O41" s="14">
        <v>0.5</v>
      </c>
      <c r="P41" s="12">
        <v>0</v>
      </c>
      <c r="Q41" s="25">
        <v>6.5669156767615311E-2</v>
      </c>
      <c r="R41" s="27">
        <v>0</v>
      </c>
      <c r="S41" s="12">
        <v>0</v>
      </c>
      <c r="T41" s="12">
        <v>0</v>
      </c>
      <c r="U41" s="14">
        <v>99999999999</v>
      </c>
      <c r="V41" s="14">
        <v>99999999999</v>
      </c>
      <c r="W41" s="13">
        <f t="shared" si="0"/>
        <v>3113.4487500000005</v>
      </c>
      <c r="Y41">
        <v>1984</v>
      </c>
      <c r="AA41">
        <v>47164754</v>
      </c>
      <c r="AB41">
        <v>1347057096</v>
      </c>
    </row>
    <row r="42" spans="2:28" x14ac:dyDescent="0.25">
      <c r="B42" s="20"/>
      <c r="C42" t="s">
        <v>130</v>
      </c>
      <c r="D42" s="11" t="s">
        <v>78</v>
      </c>
      <c r="E42" s="11" t="s">
        <v>88</v>
      </c>
      <c r="F42" s="12">
        <v>1</v>
      </c>
      <c r="G42" s="25">
        <v>4.9826541352915168</v>
      </c>
      <c r="H42" s="13">
        <v>0</v>
      </c>
      <c r="I42" s="25">
        <v>8.4414548638109697E-5</v>
      </c>
      <c r="J42" s="14">
        <v>0</v>
      </c>
      <c r="K42" s="14">
        <v>5000</v>
      </c>
      <c r="N42" s="14">
        <v>0</v>
      </c>
      <c r="O42" s="14">
        <v>0.5</v>
      </c>
      <c r="P42" s="12">
        <v>0</v>
      </c>
      <c r="Q42" s="25">
        <v>5.48694566147713E-3</v>
      </c>
      <c r="R42" s="27">
        <v>0</v>
      </c>
      <c r="S42" s="12">
        <v>0</v>
      </c>
      <c r="T42" s="12">
        <v>0</v>
      </c>
      <c r="U42" s="14">
        <v>99999999999</v>
      </c>
      <c r="V42" s="14">
        <v>99999999999</v>
      </c>
      <c r="W42" s="13">
        <f t="shared" si="0"/>
        <v>1003.4812499999999</v>
      </c>
      <c r="Y42">
        <v>1925</v>
      </c>
      <c r="AA42">
        <v>4701838219</v>
      </c>
      <c r="AB42">
        <v>1515986506</v>
      </c>
    </row>
    <row r="43" spans="2:28" x14ac:dyDescent="0.25">
      <c r="B43" s="20"/>
      <c r="C43" t="s">
        <v>131</v>
      </c>
      <c r="D43" s="11" t="s">
        <v>78</v>
      </c>
      <c r="E43" s="11" t="s">
        <v>88</v>
      </c>
      <c r="F43" s="12">
        <v>1</v>
      </c>
      <c r="G43" s="25">
        <v>94.954826637621665</v>
      </c>
      <c r="H43" s="13">
        <v>0</v>
      </c>
      <c r="I43" s="25">
        <v>9.4294189287256525E-5</v>
      </c>
      <c r="J43" s="14">
        <v>0</v>
      </c>
      <c r="K43" s="14">
        <v>5000</v>
      </c>
      <c r="N43" s="14">
        <v>0</v>
      </c>
      <c r="O43" s="14">
        <v>0.5</v>
      </c>
      <c r="P43" s="12">
        <v>0</v>
      </c>
      <c r="Q43" s="25">
        <v>6.1291223036716736E-3</v>
      </c>
      <c r="R43" s="27">
        <v>0</v>
      </c>
      <c r="S43" s="12">
        <v>0</v>
      </c>
      <c r="T43" s="12">
        <v>0</v>
      </c>
      <c r="U43" s="14">
        <v>99999999999</v>
      </c>
      <c r="V43" s="14">
        <v>99999999999</v>
      </c>
      <c r="W43" s="13">
        <f t="shared" si="0"/>
        <v>52.656617647058823</v>
      </c>
      <c r="Y43">
        <v>1985</v>
      </c>
      <c r="AA43">
        <v>4691099901</v>
      </c>
      <c r="AB43">
        <v>1548600001</v>
      </c>
    </row>
  </sheetData>
  <phoneticPr fontId="6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Scenario_2016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Felix Auer</cp:lastModifiedBy>
  <dcterms:created xsi:type="dcterms:W3CDTF">2025-10-30T14:59:47Z</dcterms:created>
  <dcterms:modified xsi:type="dcterms:W3CDTF">2026-01-22T13:09:27Z</dcterms:modified>
</cp:coreProperties>
</file>